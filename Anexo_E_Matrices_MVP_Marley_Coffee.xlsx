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0.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11.xml" ContentType="application/vnd.openxmlformats-officedocument.spreadsheetml.worksheet+xml"/>
  <Override PartName="/xl/tables/table17.xml" ContentType="application/vnd.openxmlformats-officedocument.spreadsheetml.table+xml"/>
  <Override PartName="/xl/worksheets/sheet12.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3.xml" ContentType="application/vnd.openxmlformats-officedocument.spreadsheetml.worksheet+xml"/>
  <Override PartName="/xl/tables/table21.xml" ContentType="application/vnd.openxmlformats-officedocument.spreadsheetml.table+xml"/>
  <Override PartName="/xl/worksheets/sheet14.xml" ContentType="application/vnd.openxmlformats-officedocument.spreadsheetml.worksheet+xml"/>
  <Override PartName="/xl/tables/table22.xml" ContentType="application/vnd.openxmlformats-officedocument.spreadsheetml.table+xml"/>
  <Override PartName="/xl/worksheets/sheet15.xml" ContentType="application/vnd.openxmlformats-officedocument.spreadsheetml.worksheet+xml"/>
  <Override PartName="/xl/tables/table23.xml" ContentType="application/vnd.openxmlformats-officedocument.spreadsheetml.table+xml"/>
  <Override PartName="/xl/worksheets/sheet16.xml" ContentType="application/vnd.openxmlformats-officedocument.spreadsheetml.worksheet+xml"/>
  <Override PartName="/xl/tables/table24.xml" ContentType="application/vnd.openxmlformats-officedocument.spreadsheetml.table+xml"/>
  <Override PartName="/xl/worksheets/sheet17.xml" ContentType="application/vnd.openxmlformats-officedocument.spreadsheetml.worksheet+xml"/>
  <Override PartName="/xl/tables/table25.xml" ContentType="application/vnd.openxmlformats-officedocument.spreadsheetml.table+xml"/>
  <Override PartName="/xl/worksheets/sheet18.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9.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sheets/sheet20.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21.xml" ContentType="application/vnd.openxmlformats-officedocument.spreadsheetml.worksheet+xml"/>
  <Override PartName="/xl/tables/table37.xml" ContentType="application/vnd.openxmlformats-officedocument.spreadsheetml.table+xml"/>
  <Override PartName="/xl/worksheets/sheet22.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23.xml" ContentType="application/vnd.openxmlformats-officedocument.spreadsheetml.worksheet+xml"/>
  <Override PartName="/xl/tables/table41.xml" ContentType="application/vnd.openxmlformats-officedocument.spreadsheetml.table+xml"/>
  <Override PartName="/xl/worksheets/sheet24.xml" ContentType="application/vnd.openxmlformats-officedocument.spreadsheetml.worksheet+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25.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EME" sheetId="1" state="visible" r:id="rId1"/>
    <sheet xmlns:r="http://schemas.openxmlformats.org/officeDocument/2006/relationships" name="01_ENGAGEMENT" sheetId="2" state="visible" r:id="rId2"/>
    <sheet xmlns:r="http://schemas.openxmlformats.org/officeDocument/2006/relationships" name="02_ZONAS" sheetId="3" state="visible" r:id="rId3"/>
    <sheet xmlns:r="http://schemas.openxmlformats.org/officeDocument/2006/relationships" name="03_FINANCIAL" sheetId="4" state="visible" r:id="rId4"/>
    <sheet xmlns:r="http://schemas.openxmlformats.org/officeDocument/2006/relationships" name="04_KPIS" sheetId="5" state="visible" r:id="rId5"/>
    <sheet xmlns:r="http://schemas.openxmlformats.org/officeDocument/2006/relationships" name="05_WORKFLOWS" sheetId="6" state="visible" r:id="rId6"/>
    <sheet xmlns:r="http://schemas.openxmlformats.org/officeDocument/2006/relationships" name="06_CONTENIDOS" sheetId="7" state="visible" r:id="rId7"/>
    <sheet xmlns:r="http://schemas.openxmlformats.org/officeDocument/2006/relationships" name="07_TEST_PLAN" sheetId="8" state="visible" r:id="rId8"/>
    <sheet xmlns:r="http://schemas.openxmlformats.org/officeDocument/2006/relationships" name="08_TEST_REGISTRO" sheetId="9" state="visible" r:id="rId9"/>
    <sheet xmlns:r="http://schemas.openxmlformats.org/officeDocument/2006/relationships" name="09_SUS" sheetId="10" state="visible" r:id="rId10"/>
    <sheet xmlns:r="http://schemas.openxmlformats.org/officeDocument/2006/relationships" name="10_HALLAZGOS" sheetId="11" state="visible" r:id="rId11"/>
    <sheet xmlns:r="http://schemas.openxmlformats.org/officeDocument/2006/relationships" name="11_COMPARACION" sheetId="12" state="visible" r:id="rId12"/>
    <sheet xmlns:r="http://schemas.openxmlformats.org/officeDocument/2006/relationships" name="12_SUPUESTOS" sheetId="13" state="visible" r:id="rId13"/>
    <sheet xmlns:r="http://schemas.openxmlformats.org/officeDocument/2006/relationships" name="13_GLOSARIO" sheetId="14" state="visible" r:id="rId14"/>
    <sheet xmlns:r="http://schemas.openxmlformats.org/officeDocument/2006/relationships" name="14_VERSIONES" sheetId="15" state="visible" r:id="rId15"/>
    <sheet xmlns:r="http://schemas.openxmlformats.org/officeDocument/2006/relationships" name="15_LEAD_MAGNETS" sheetId="16" state="visible" r:id="rId16"/>
    <sheet xmlns:r="http://schemas.openxmlformats.org/officeDocument/2006/relationships" name="16_ECONOMIA_UNITARIA" sheetId="17" state="visible" r:id="rId17"/>
    <sheet xmlns:r="http://schemas.openxmlformats.org/officeDocument/2006/relationships" name="17_INTEGRACION" sheetId="18" state="visible" r:id="rId18"/>
    <sheet xmlns:r="http://schemas.openxmlformats.org/officeDocument/2006/relationships" name="18_BLUEPRINT_INBOUND" sheetId="19" state="visible" r:id="rId19"/>
    <sheet xmlns:r="http://schemas.openxmlformats.org/officeDocument/2006/relationships" name="19_PRECIOS_SUPUESTOS" sheetId="20" state="visible" r:id="rId20"/>
    <sheet xmlns:r="http://schemas.openxmlformats.org/officeDocument/2006/relationships" name="20_CRM_ROLES" sheetId="21" state="visible" r:id="rId21"/>
    <sheet xmlns:r="http://schemas.openxmlformats.org/officeDocument/2006/relationships" name="21_SEO_AEO" sheetId="22" state="visible" r:id="rId22"/>
    <sheet xmlns:r="http://schemas.openxmlformats.org/officeDocument/2006/relationships" name="22_CAMBIOS_TEST" sheetId="23" state="visible" r:id="rId23"/>
    <sheet xmlns:r="http://schemas.openxmlformats.org/officeDocument/2006/relationships" name="23_CONVERSACION_POSTVENTA" sheetId="24" state="visible" r:id="rId24"/>
    <sheet xmlns:r="http://schemas.openxmlformats.org/officeDocument/2006/relationships" name="24_CONEXIONES" sheetId="25" state="visible" r:id="rId25"/>
  </sheets>
  <definedNames>
    <definedName name="_xlnm.Print_Titles" localSheetId="0">'00_LEEME'!$4:$4</definedName>
    <definedName name="_xlnm.Print_Titles" localSheetId="1">'01_ENGAGEMENT'!$4:$4</definedName>
    <definedName name="_xlnm.Print_Titles" localSheetId="2">'02_ZONAS'!$4:$4</definedName>
    <definedName name="_xlnm.Print_Titles" localSheetId="3">'03_FINANCIAL'!$4:$4</definedName>
    <definedName name="_xlnm.Print_Titles" localSheetId="4">'04_KPIS'!$4:$4</definedName>
    <definedName name="_xlnm.Print_Titles" localSheetId="5">'05_WORKFLOWS'!$4:$4</definedName>
    <definedName name="_xlnm.Print_Titles" localSheetId="6">'06_CONTENIDOS'!$4:$4</definedName>
    <definedName name="_xlnm.Print_Titles" localSheetId="7">'07_TEST_PLAN'!$4:$4</definedName>
    <definedName name="_xlnm.Print_Titles" localSheetId="8">'08_TEST_REGISTRO'!$4:$4</definedName>
    <definedName name="_xlnm.Print_Titles" localSheetId="9">'09_SUS'!$4:$4</definedName>
    <definedName name="_xlnm.Print_Titles" localSheetId="10">'10_HALLAZGOS'!$4:$4</definedName>
    <definedName name="_xlnm.Print_Titles" localSheetId="11">'11_COMPARACION'!$4:$4</definedName>
    <definedName name="_xlnm.Print_Titles" localSheetId="12">'12_SUPUESTOS'!$4:$4</definedName>
    <definedName name="_xlnm.Print_Titles" localSheetId="13">'13_GLOSARIO'!$4:$4</definedName>
    <definedName name="_xlnm.Print_Titles" localSheetId="14">'14_VERSIONES'!$4:$4</definedName>
    <definedName name="_xlnm.Print_Titles" localSheetId="15">'15_LEAD_MAGNETS'!$4:$4</definedName>
    <definedName name="_xlnm.Print_Titles" localSheetId="16">'16_ECONOMIA_UNITARIA'!$4:$4</definedName>
    <definedName name="_xlnm.Print_Titles" localSheetId="17">'17_INTEGRACION'!$4:$4</definedName>
    <definedName name="_xlnm.Print_Titles" localSheetId="18">'18_BLUEPRINT_INBOUND'!$4:$4</definedName>
    <definedName name="_xlnm.Print_Titles" localSheetId="19">'19_PRECIOS_SUPUESTOS'!$4:$4</definedName>
    <definedName name="_xlnm.Print_Titles" localSheetId="20">'20_CRM_ROLES'!$4:$4</definedName>
    <definedName name="_xlnm.Print_Titles" localSheetId="21">'21_SEO_AEO'!$4:$4</definedName>
    <definedName name="_xlnm.Print_Titles" localSheetId="22">'22_CAMBIOS_TEST'!$4:$4</definedName>
    <definedName name="_xlnm.Print_Titles" localSheetId="23">'23_CONVERSACION_POSTVENTA'!$4:$4</definedName>
    <definedName name="_xlnm.Print_Titles" localSheetId="24">'24_CONEXIONES'!$4:$4</definedName>
  </definedNames>
  <calcPr calcId="124519" fullCalcOnLoad="1"/>
</workbook>
</file>

<file path=xl/styles.xml><?xml version="1.0" encoding="utf-8"?>
<styleSheet xmlns="http://schemas.openxmlformats.org/spreadsheetml/2006/main">
  <numFmts count="4">
    <numFmt numFmtId="164" formatCode="&quot;$&quot; #,##0"/>
    <numFmt numFmtId="165" formatCode="0.0"/>
    <numFmt numFmtId="166" formatCode="0.0%"/>
    <numFmt numFmtId="167" formatCode="&quot;$&quot;#,##0"/>
  </numFmts>
  <fonts count="7">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
      <name val="Arial"/>
      <b val="1"/>
      <color rgb="000D0D0D"/>
      <sz val="16"/>
    </font>
  </fonts>
  <fills count="6">
    <fill>
      <patternFill/>
    </fill>
    <fill>
      <patternFill patternType="gray125"/>
    </fill>
    <fill>
      <patternFill patternType="solid">
        <fgColor rgb="00171717"/>
      </patternFill>
    </fill>
    <fill>
      <patternFill patternType="solid">
        <fgColor rgb="00FFF6CC"/>
      </patternFill>
    </fill>
    <fill>
      <patternFill patternType="solid">
        <fgColor rgb="00EFEFEF"/>
      </patternFill>
    </fill>
    <fill>
      <patternFill patternType="solid">
        <fgColor rgb="00F4F4F4"/>
      </patternFill>
    </fill>
  </fills>
  <borders count="13">
    <border>
      <left/>
      <right/>
      <top/>
      <bottom/>
      <diagonal/>
    </border>
    <border>
      <left style="thin">
        <color rgb="00BBBBBB"/>
      </left>
      <right style="thin">
        <color rgb="00BBBBBB"/>
      </right>
      <top style="thin">
        <color rgb="00BBBBBB"/>
      </top>
      <bottom style="thin">
        <color rgb="00BBBBBB"/>
      </bottom>
    </border>
    <border>
      <bottom style="thick">
        <color rgb="00F7BE00"/>
      </bottom>
    </border>
    <border>
      <left style="thin">
        <color rgb="00BBBBBB"/>
      </left>
      <right style="thin">
        <color rgb="00BBBBBB"/>
      </right>
      <top style="medium">
        <color rgb="00171717"/>
      </top>
      <bottom style="medium">
        <color rgb="00F7BE00"/>
      </bottom>
    </border>
    <border>
      <left style="medium">
        <color rgb="00171717"/>
      </left>
      <right style="thin">
        <color rgb="00BBBBBB"/>
      </right>
      <top style="thin">
        <color rgb="00BBBBBB"/>
      </top>
      <bottom style="thin">
        <color rgb="00BBBBBB"/>
      </bottom>
    </border>
    <border>
      <left style="thin">
        <color rgb="00BBBBBB"/>
      </left>
      <right style="medium">
        <color rgb="00171717"/>
      </right>
      <top style="thin">
        <color rgb="00BBBBBB"/>
      </top>
      <bottom style="thin">
        <color rgb="00BBBBBB"/>
      </bottom>
    </border>
    <border>
      <left style="medium">
        <color rgb="00171717"/>
      </left>
      <right style="thin">
        <color rgb="00BBBBBB"/>
      </right>
      <top style="thin">
        <color rgb="00BBBBBB"/>
      </top>
      <bottom style="medium">
        <color rgb="00171717"/>
      </bottom>
    </border>
    <border>
      <left style="thin">
        <color rgb="00BBBBBB"/>
      </left>
      <right style="medium">
        <color rgb="00171717"/>
      </right>
      <top style="thin">
        <color rgb="00BBBBBB"/>
      </top>
      <bottom style="medium">
        <color rgb="00171717"/>
      </bottom>
    </border>
    <border>
      <left style="thin">
        <color rgb="00BBBBBB"/>
      </left>
      <right style="thin">
        <color rgb="00BBBBBB"/>
      </right>
      <top style="thin">
        <color rgb="00BBBBBB"/>
      </top>
      <bottom style="medium">
        <color rgb="00171717"/>
      </bottom>
    </border>
    <border>
      <left style="medium">
        <color rgb="00171717"/>
      </left>
      <right/>
      <top/>
      <bottom style="medium">
        <color rgb="00171717"/>
      </bottom>
    </border>
    <border>
      <left/>
      <right style="medium">
        <color rgb="00171717"/>
      </right>
      <top/>
      <bottom style="medium">
        <color rgb="00171717"/>
      </bottom>
    </border>
    <border>
      <left/>
      <right/>
      <top/>
      <bottom style="medium">
        <color rgb="00171717"/>
      </bottom>
    </border>
    <border>
      <left style="thin">
        <color rgb="00BBBBBB"/>
      </left>
      <right style="thin">
        <color rgb="00BBBBBB"/>
      </right>
      <top style="medium">
        <color rgb="00171717"/>
      </top>
      <bottom style="medium">
        <color rgb="00171717"/>
      </bottom>
    </border>
  </borders>
  <cellStyleXfs count="1">
    <xf numFmtId="0" fontId="0" fillId="0" borderId="0"/>
  </cellStyleXfs>
  <cellXfs count="68">
    <xf numFmtId="0" fontId="0" fillId="0" borderId="0" pivotButton="0" quotePrefix="0" xfId="0"/>
    <xf numFmtId="0" fontId="6" fillId="0" borderId="2" pivotButton="0" quotePrefix="0" xfId="0"/>
    <xf numFmtId="0" fontId="0" fillId="0" borderId="2" pivotButton="0" quotePrefix="0" xfId="0"/>
    <xf numFmtId="0" fontId="2" fillId="0" borderId="0" applyAlignment="1" pivotButton="0" quotePrefix="0" xfId="0">
      <alignment vertical="top" wrapText="1"/>
    </xf>
    <xf numFmtId="0" fontId="3" fillId="2"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3" fillId="2"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4" fillId="3" borderId="5" applyAlignment="1" pivotButton="0" quotePrefix="0" xfId="0">
      <alignment vertical="top" wrapText="1"/>
    </xf>
    <xf numFmtId="0" fontId="4" fillId="0" borderId="1" pivotButton="0" quotePrefix="0" xfId="0"/>
    <xf numFmtId="0" fontId="4" fillId="0" borderId="8" applyAlignment="1" pivotButton="0" quotePrefix="0" xfId="0">
      <alignment vertical="top" wrapText="1"/>
    </xf>
    <xf numFmtId="0" fontId="4" fillId="3" borderId="8" applyAlignment="1" pivotButton="0" quotePrefix="0" xfId="0">
      <alignment vertical="top" wrapText="1"/>
    </xf>
    <xf numFmtId="0" fontId="4" fillId="3" borderId="7"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2" fillId="0" borderId="0" pivotButton="0" quotePrefix="0" xfId="0"/>
    <xf numFmtId="0" fontId="4" fillId="4" borderId="1" applyAlignment="1" pivotButton="0" quotePrefix="0" xfId="0">
      <alignment vertical="top" wrapText="1"/>
    </xf>
    <xf numFmtId="0" fontId="4" fillId="4" borderId="8" applyAlignment="1" pivotButton="0" quotePrefix="0" xfId="0">
      <alignment vertical="top" wrapText="1"/>
    </xf>
    <xf numFmtId="0" fontId="4" fillId="0" borderId="4" pivotButton="0" quotePrefix="0" xfId="0"/>
    <xf numFmtId="9" fontId="4" fillId="3" borderId="1" pivotButton="0" quotePrefix="0" xfId="0"/>
    <xf numFmtId="0" fontId="4" fillId="0" borderId="5" pivotButton="0" quotePrefix="0" xfId="0"/>
    <xf numFmtId="0" fontId="5" fillId="0" borderId="9" pivotButton="0" quotePrefix="0" xfId="0"/>
    <xf numFmtId="9" fontId="0" fillId="4" borderId="11" pivotButton="0" quotePrefix="0" xfId="0"/>
    <xf numFmtId="0" fontId="0" fillId="0" borderId="10" pivotButton="0" quotePrefix="0" xfId="0"/>
    <xf numFmtId="164" fontId="4" fillId="3" borderId="1" applyAlignment="1" pivotButton="0" quotePrefix="0" xfId="0">
      <alignment vertical="top" wrapText="1"/>
    </xf>
    <xf numFmtId="1" fontId="4" fillId="4" borderId="1" applyAlignment="1" pivotButton="0" quotePrefix="0" xfId="0">
      <alignment vertical="top" wrapText="1"/>
    </xf>
    <xf numFmtId="164" fontId="4" fillId="3" borderId="8" applyAlignment="1" pivotButton="0" quotePrefix="0" xfId="0">
      <alignment vertical="top" wrapText="1"/>
    </xf>
    <xf numFmtId="1" fontId="4" fillId="4" borderId="8"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9" fontId="4" fillId="4" borderId="1" applyAlignment="1" pivotButton="0" quotePrefix="0" xfId="0">
      <alignment vertical="top" wrapText="1"/>
    </xf>
    <xf numFmtId="165" fontId="4" fillId="4" borderId="1" applyAlignment="1" pivotButton="0" quotePrefix="0" xfId="0">
      <alignment vertical="top" wrapText="1"/>
    </xf>
    <xf numFmtId="9" fontId="4" fillId="0" borderId="1" applyAlignment="1" pivotButton="0" quotePrefix="0" xfId="0">
      <alignment vertical="top" wrapText="1"/>
    </xf>
    <xf numFmtId="0" fontId="4" fillId="4" borderId="5" applyAlignment="1" pivotButton="0" quotePrefix="0" xfId="0">
      <alignment vertical="top" wrapText="1"/>
    </xf>
    <xf numFmtId="9" fontId="4" fillId="4" borderId="8" applyAlignment="1" pivotButton="0" quotePrefix="0" xfId="0">
      <alignment vertical="top" wrapText="1"/>
    </xf>
    <xf numFmtId="165" fontId="4" fillId="4" borderId="8" applyAlignment="1" pivotButton="0" quotePrefix="0" xfId="0">
      <alignment vertical="top" wrapText="1"/>
    </xf>
    <xf numFmtId="9" fontId="4" fillId="0" borderId="8" applyAlignment="1" pivotButton="0" quotePrefix="0" xfId="0">
      <alignment vertical="top" wrapText="1"/>
    </xf>
    <xf numFmtId="0" fontId="4" fillId="4" borderId="7" applyAlignment="1" pivotButton="0" quotePrefix="0" xfId="0">
      <alignment vertical="top" wrapText="1"/>
    </xf>
    <xf numFmtId="0" fontId="5" fillId="0" borderId="4" applyAlignment="1" pivotButton="0" quotePrefix="0" xfId="0">
      <alignment vertical="top" wrapText="1"/>
    </xf>
    <xf numFmtId="165" fontId="5" fillId="4" borderId="1" applyAlignment="1" pivotButton="0" quotePrefix="0" xfId="0">
      <alignment vertical="top" wrapText="1"/>
    </xf>
    <xf numFmtId="0" fontId="5" fillId="4" borderId="5" applyAlignment="1" pivotButton="0" quotePrefix="0" xfId="0">
      <alignment vertical="top" wrapText="1"/>
    </xf>
    <xf numFmtId="0" fontId="5" fillId="0" borderId="6" applyAlignment="1" pivotButton="0" quotePrefix="0" xfId="0">
      <alignment vertical="top" wrapText="1"/>
    </xf>
    <xf numFmtId="0" fontId="5" fillId="0" borderId="8" applyAlignment="1" pivotButton="0" quotePrefix="0" xfId="0">
      <alignment vertical="top" wrapText="1"/>
    </xf>
    <xf numFmtId="165" fontId="5" fillId="4" borderId="8" applyAlignment="1" pivotButton="0" quotePrefix="0" xfId="0">
      <alignment vertical="top" wrapText="1"/>
    </xf>
    <xf numFmtId="0" fontId="5" fillId="4" borderId="7" applyAlignment="1" pivotButton="0" quotePrefix="0" xfId="0">
      <alignment vertical="top" wrapText="1"/>
    </xf>
    <xf numFmtId="0" fontId="5" fillId="0" borderId="0" pivotButton="0" quotePrefix="0" xfId="0"/>
    <xf numFmtId="0" fontId="3" fillId="2" borderId="12" applyAlignment="1" pivotButton="0" quotePrefix="0" xfId="0">
      <alignment vertical="center" wrapText="1"/>
    </xf>
    <xf numFmtId="0" fontId="4" fillId="5" borderId="4" applyAlignment="1" pivotButton="0" quotePrefix="0" xfId="0">
      <alignment vertical="top" wrapText="1"/>
    </xf>
    <xf numFmtId="0" fontId="4" fillId="5" borderId="1" applyAlignment="1" pivotButton="0" quotePrefix="0" xfId="0">
      <alignment vertical="top" wrapText="1"/>
    </xf>
    <xf numFmtId="0" fontId="4" fillId="5" borderId="5" applyAlignment="1" pivotButton="0" quotePrefix="0" xfId="0">
      <alignment vertical="top" wrapText="1"/>
    </xf>
    <xf numFmtId="0" fontId="4" fillId="5" borderId="6" applyAlignment="1" pivotButton="0" quotePrefix="0" xfId="0">
      <alignment vertical="top" wrapText="1"/>
    </xf>
    <xf numFmtId="0" fontId="4" fillId="5" borderId="8" applyAlignment="1" pivotButton="0" quotePrefix="0" xfId="0">
      <alignment vertical="top" wrapText="1"/>
    </xf>
    <xf numFmtId="0" fontId="4" fillId="5" borderId="7" applyAlignment="1" pivotButton="0" quotePrefix="0" xfId="0">
      <alignment vertical="top" wrapText="1"/>
    </xf>
    <xf numFmtId="166" fontId="4" fillId="3" borderId="1" applyAlignment="1" pivotButton="0" quotePrefix="0" xfId="0">
      <alignment vertical="top" wrapText="1"/>
    </xf>
    <xf numFmtId="166" fontId="4" fillId="4" borderId="1" applyAlignment="1" pivotButton="0" quotePrefix="0" xfId="0">
      <alignment vertical="top" wrapText="1"/>
    </xf>
    <xf numFmtId="167" fontId="4" fillId="3" borderId="1" applyAlignment="1" pivotButton="0" quotePrefix="0" xfId="0">
      <alignment vertical="top" wrapText="1"/>
    </xf>
    <xf numFmtId="167" fontId="4" fillId="4" borderId="1" applyAlignment="1" pivotButton="0" quotePrefix="0" xfId="0">
      <alignment vertical="top" wrapText="1"/>
    </xf>
    <xf numFmtId="167" fontId="4" fillId="3" borderId="5" applyAlignment="1" pivotButton="0" quotePrefix="0" xfId="0">
      <alignment vertical="top" wrapText="1"/>
    </xf>
    <xf numFmtId="167" fontId="4" fillId="3" borderId="8" applyAlignment="1" pivotButton="0" quotePrefix="0" xfId="0">
      <alignment vertical="top" wrapText="1"/>
    </xf>
    <xf numFmtId="167" fontId="4" fillId="3" borderId="7" applyAlignment="1" pivotButton="0" quotePrefix="0" xfId="0">
      <alignment vertical="top" wrapText="1"/>
    </xf>
    <xf numFmtId="167" fontId="4" fillId="4" borderId="8" applyAlignment="1" pivotButton="0" quotePrefix="0" xfId="0">
      <alignment vertical="top" wrapText="1"/>
    </xf>
    <xf numFmtId="167" fontId="4" fillId="0" borderId="1" applyAlignment="1" pivotButton="0" quotePrefix="0" xfId="0">
      <alignment vertical="top" wrapText="1"/>
    </xf>
    <xf numFmtId="167" fontId="4"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T00_1" displayName="T00_1" ref="A4:B29" headerRowCount="1">
  <autoFilter ref="A4:B29"/>
  <tableColumns count="2">
    <tableColumn id="1" name="Hoja"/>
    <tableColumn id="2" name="Contenido"/>
  </tableColumns>
  <tableStyleInfo name="TableStyleLight15" showRowStripes="1" showColumnStripes="0"/>
</table>
</file>

<file path=xl/tables/table2.xml><?xml version="1.0" encoding="utf-8"?>
<table xmlns="http://schemas.openxmlformats.org/spreadsheetml/2006/main" id="2" name="T01_1" displayName="T01_1" ref="A4:H18" headerRowCount="1">
  <autoFilter ref="A4:H18"/>
  <tableColumns count="8">
    <tableColumn id="1" name="N°"/>
    <tableColumn id="2" name="Clave"/>
    <tableColumn id="3" name="Evento"/>
    <tableColumn id="4" name="Puntos"/>
    <tableColumn id="5" name="Regla / control"/>
    <tableColumn id="6" name="Caso A (1 = ocurrió)"/>
    <tableColumn id="7" name="Caso B (1 = ocurrió)"/>
    <tableColumn id="8" name="Caso C (1 = ocurrió)"/>
  </tableColumns>
  <tableStyleInfo name="TableStyleLight15" showRowStripes="1" showColumnStripes="0"/>
</table>
</file>

<file path=xl/tables/table3.xml><?xml version="1.0" encoding="utf-8"?>
<table xmlns="http://schemas.openxmlformats.org/spreadsheetml/2006/main" id="3" name="T02_1" displayName="T02_1" ref="A4:G31" headerRowCount="1">
  <autoFilter ref="A4:G31"/>
  <tableColumns count="7">
    <tableColumn id="1" name="Comuna"/>
    <tableColumn id="2" name="Zona"/>
    <tableColumn id="3" name="Prioridad"/>
    <tableColumn id="4" name="Puntos Engagement"/>
    <tableColumn id="5" name="Potencial Financial (0–100)"/>
    <tableColumn id="6" name="Ejecutiva de zona (ficticia)"/>
    <tableColumn id="7" name="Ruta (demo)"/>
  </tableColumns>
  <tableStyleInfo name="TableStyleLight15" showRowStripes="1" showColumnStripes="0"/>
</table>
</file>

<file path=xl/tables/table4.xml><?xml version="1.0" encoding="utf-8"?>
<table xmlns="http://schemas.openxmlformats.org/spreadsheetml/2006/main" id="4" name="T03_1" displayName="T03_1" ref="A4:C10" headerRowCount="1">
  <autoFilter ref="A4:C10"/>
  <tableColumns count="3">
    <tableColumn id="1" name="Componente"/>
    <tableColumn id="2" name="Peso"/>
    <tableColumn id="3" name="Normalización (0–100)"/>
  </tableColumns>
  <tableStyleInfo name="TableStyleLight15" showRowStripes="1" showColumnStripes="0"/>
</table>
</file>

<file path=xl/tables/table5.xml><?xml version="1.0" encoding="utf-8"?>
<table xmlns="http://schemas.openxmlformats.org/spreadsheetml/2006/main" id="5" name="T03_2" displayName="T03_2" ref="A12:P32" headerRowCount="1">
  <autoFilter ref="A12:P32"/>
  <tableColumns count="16">
    <tableColumn id="1" name="Cliente (ficticio)"/>
    <tableColumn id="2" name="Tipo"/>
    <tableColumn id="3" name="Comuna"/>
    <tableColumn id="4" name="Ticket promedio (CLP, ficticio)"/>
    <tableColumn id="5" name="Pedidos 180 días"/>
    <tableColumn id="6" name="Margen relativo"/>
    <tableColumn id="7" name="Categorías"/>
    <tableColumn id="8" name="Ticket n"/>
    <tableColumn id="9" name="Frecuencia n"/>
    <tableColumn id="10" name="Margen n"/>
    <tableColumn id="11" name="Amplitud n"/>
    <tableColumn id="12" name="Zona n"/>
    <tableColumn id="13" name="Financial (Excel)"/>
    <tableColumn id="14" name="Financial (prototipo)"/>
    <tableColumn id="15" name="Diferencia"/>
    <tableColumn id="16" name="Tipo de cliente (prototipo)"/>
  </tableColumns>
  <tableStyleInfo name="TableStyleLight15" showRowStripes="1" showColumnStripes="0"/>
</table>
</file>

<file path=xl/tables/table6.xml><?xml version="1.0" encoding="utf-8"?>
<table xmlns="http://schemas.openxmlformats.org/spreadsheetml/2006/main" id="6" name="T04_1" displayName="T04_1" ref="A4:L36" headerRowCount="1">
  <autoFilter ref="A4:L36"/>
  <tableColumns count="12">
    <tableColumn id="1" name="ID"/>
    <tableColumn id="2" name="KPI"/>
    <tableColumn id="3" name="Tipo"/>
    <tableColumn id="4" name="Fórmula"/>
    <tableColumn id="5" name="Unidad"/>
    <tableColumn id="6" name="Ventana / período"/>
    <tableColumn id="7" name="Fuente de datos"/>
    <tableColumn id="8" name="Frecuencia"/>
    <tableColumn id="9" name="Responsable"/>
    <tableColumn id="10" name="Línea base"/>
    <tableColumn id="11" name="Umbral o meta propuesta"/>
    <tableColumn id="12" name="Decisión que apoya"/>
  </tableColumns>
  <tableStyleInfo name="TableStyleLight15" showRowStripes="1" showColumnStripes="0"/>
</table>
</file>

<file path=xl/tables/table7.xml><?xml version="1.0" encoding="utf-8"?>
<table xmlns="http://schemas.openxmlformats.org/spreadsheetml/2006/main" id="7" name="T05_1" displayName="T05_1" ref="A4:L14" headerRowCount="1">
  <autoFilter ref="A4:L14"/>
  <tableColumns count="12">
    <tableColumn id="1" name="ID"/>
    <tableColumn id="2" name="Nombre"/>
    <tableColumn id="3" name="Segmento"/>
    <tableColumn id="4" name="Etapa del funnel"/>
    <tableColumn id="5" name="Gatillador (evento)"/>
    <tableColumn id="6" name="Condición"/>
    <tableColumn id="7" name="Espera"/>
    <tableColumn id="8" name="Canal"/>
    <tableColumn id="9" name="Acción y contenido"/>
    <tableColumn id="10" name="Supresión / salida"/>
    <tableColumn id="11" name="KPI"/>
    <tableColumn id="12" name="Dónde se ve en el prototipo"/>
  </tableColumns>
  <tableStyleInfo name="TableStyleLight15" showRowStripes="1" showColumnStripes="0"/>
</table>
</file>

<file path=xl/tables/table8.xml><?xml version="1.0" encoding="utf-8"?>
<table xmlns="http://schemas.openxmlformats.org/spreadsheetml/2006/main" id="8" name="T06_1" displayName="T06_1" ref="A4:H14" headerRowCount="1">
  <autoFilter ref="A4:H14"/>
  <tableColumns count="8">
    <tableColumn id="1" name="Pieza"/>
    <tableColumn id="2" name="Formato"/>
    <tableColumn id="3" name="Etapa"/>
    <tableColumn id="4" name="Segmento"/>
    <tableColumn id="5" name="Objetivo"/>
    <tableColumn id="6" name="CTA"/>
    <tableColumn id="7" name="Workflow"/>
    <tableColumn id="8" name="Estado"/>
  </tableColumns>
  <tableStyleInfo name="TableStyleLight15" showRowStripes="1" showColumnStripes="0"/>
</table>
</file>

<file path=xl/tables/table9.xml><?xml version="1.0" encoding="utf-8"?>
<table xmlns="http://schemas.openxmlformats.org/spreadsheetml/2006/main" id="9" name="T06_2" displayName="T06_2" ref="A16:L28" headerRowCount="1">
  <autoFilter ref="A16:L28"/>
  <tableColumns count="12">
    <tableColumn id="1" name="ID"/>
    <tableColumn id="2" name="Etapa del ciclo"/>
    <tableColumn id="3" name="Táctica"/>
    <tableColumn id="4" name="Público"/>
    <tableColumn id="5" name="Acción"/>
    <tableColumn id="6" name="Pieza"/>
    <tableColumn id="7" name="Valor / CTA"/>
    <tableColumn id="8" name="Evento y automatización"/>
    <tableColumn id="9" name="Agente"/>
    <tableColumn id="10" name="Indicador"/>
    <tableColumn id="11" name="Medición"/>
    <tableColumn id="12" name="Estado"/>
  </tableColumns>
  <tableStyleInfo name="TableStyleLight15" showRowStripes="1" showColumnStripes="0"/>
</table>
</file>

<file path=xl/tables/table10.xml><?xml version="1.0" encoding="utf-8"?>
<table xmlns="http://schemas.openxmlformats.org/spreadsheetml/2006/main" id="10" name="T06_3" displayName="T06_3" ref="A30:I39" headerRowCount="1">
  <autoFilter ref="A30:I39"/>
  <tableColumns count="9">
    <tableColumn id="1" name="Canal / táctica"/>
    <tableColumn id="2" name="Segmento"/>
    <tableColumn id="3" name="Intención o idea"/>
    <tableColumn id="4" name="Destino o activo"/>
    <tableColumn id="5" name="Ejemplo de pieza / estructura"/>
    <tableColumn id="6" name="Valor y siguiente acción"/>
    <tableColumn id="7" name="Evento y automatización"/>
    <tableColumn id="8" name="Indicador"/>
    <tableColumn id="9" name="Control"/>
  </tableColumns>
  <tableStyleInfo name="TableStyleLight15" showRowStripes="1" showColumnStripes="0"/>
</table>
</file>

<file path=xl/tables/table11.xml><?xml version="1.0" encoding="utf-8"?>
<table xmlns="http://schemas.openxmlformats.org/spreadsheetml/2006/main" id="11" name="T07_1" displayName="T07_1" ref="A4:H13" headerRowCount="1">
  <autoFilter ref="A4:H13"/>
  <tableColumns count="8">
    <tableColumn id="1" name="ID"/>
    <tableColumn id="2" name="Rol"/>
    <tableColumn id="3" name="Tarea (se lee al participante)"/>
    <tableColumn id="4" name="Pantallas"/>
    <tableColumn id="5" name="Criterio de éxito"/>
    <tableColumn id="6" name="Métricas"/>
    <tableColumn id="7" name="Umbral"/>
    <tableColumn id="8" name="Ronda 1 (15-10)"/>
  </tableColumns>
  <tableStyleInfo name="TableStyleLight15" showRowStripes="1" showColumnStripes="0"/>
</table>
</file>

<file path=xl/tables/table12.xml><?xml version="1.0" encoding="utf-8"?>
<table xmlns="http://schemas.openxmlformats.org/spreadsheetml/2006/main" id="12" name="T08_1" displayName="T08_1" ref="A4:P12" headerRowCount="1">
  <autoFilter ref="A4:P12"/>
  <tableColumns count="16">
    <tableColumn id="1" name="Participante"/>
    <tableColumn id="2" name="Perfil / rol"/>
    <tableColumn id="3" name="Dispositivo"/>
    <tableColumn id="4" name="Tarea"/>
    <tableColumn id="5" name="Éxito (1 / 0,5 / 0)"/>
    <tableColumn id="6" name="Tiempo (s)"/>
    <tableColumn id="7" name="Pidió ayuda (1/0)"/>
    <tableColumn id="8" name="SEQ (1–7)"/>
    <tableColumn id="9" name="Toques"/>
    <tableColumn id="10" name="Toques sin respuesta"/>
    <tableColumn id="11" name="Primera acción (s)"/>
    <tableColumn id="12" name="Hasta Empresas (s)"/>
    <tableColumn id="13" name="Pausa más larga (s)"/>
    <tableColumn id="14" name="Pantalla con más tiempo"/>
    <tableColumn id="15" name="SUS"/>
    <tableColumn id="16" name="Nota del moderador (resumen)"/>
  </tableColumns>
  <tableStyleInfo name="TableStyleLight15" showRowStripes="1" showColumnStripes="0"/>
</table>
</file>

<file path=xl/tables/table13.xml><?xml version="1.0" encoding="utf-8"?>
<table xmlns="http://schemas.openxmlformats.org/spreadsheetml/2006/main" id="13" name="T08_2" displayName="T08_2" ref="A14:I17" headerRowCount="1">
  <autoFilter ref="A14:I17"/>
  <tableColumns count="9">
    <tableColumn id="1" name="Tarea"/>
    <tableColumn id="2" name="Perfil"/>
    <tableColumn id="3" name="Intentos"/>
    <tableColumn id="4" name="Éxito sin ayuda (%)"/>
    <tableColumn id="5" name="Éxito total (%)"/>
    <tableColumn id="6" name="Tiempo promedio (s)"/>
    <tableColumn id="7" name="SEQ promedio"/>
    <tableColumn id="8" name="Umbral de éxito"/>
    <tableColumn id="9" name="¿Cumple?"/>
  </tableColumns>
  <tableStyleInfo name="TableStyleLight15" showRowStripes="1" showColumnStripes="0"/>
</table>
</file>

<file path=xl/tables/table14.xml><?xml version="1.0" encoding="utf-8"?>
<table xmlns="http://schemas.openxmlformats.org/spreadsheetml/2006/main" id="14" name="T09_1" displayName="T09_1" ref="A4:E11" headerRowCount="1">
  <autoFilter ref="A4:E11"/>
  <tableColumns count="5">
    <tableColumn id="1" name="Participante"/>
    <tableColumn id="2" name="Perfil"/>
    <tableColumn id="3" name="Dispositivo"/>
    <tableColumn id="4" name="SUS (0–100)"/>
    <tableColumn id="5" name="Lectura"/>
  </tableColumns>
  <tableStyleInfo name="TableStyleLight15" showRowStripes="1" showColumnStripes="0"/>
</table>
</file>

<file path=xl/tables/table15.xml><?xml version="1.0" encoding="utf-8"?>
<table xmlns="http://schemas.openxmlformats.org/spreadsheetml/2006/main" id="15" name="T09_2" displayName="T09_2" ref="A14:L17" headerRowCount="1">
  <autoFilter ref="A14:L17"/>
  <tableColumns count="12">
    <tableColumn id="1" name="Participante"/>
    <tableColumn id="2" name="Í1"/>
    <tableColumn id="3" name="Í2"/>
    <tableColumn id="4" name="Í3"/>
    <tableColumn id="5" name="Í4"/>
    <tableColumn id="6" name="Í5"/>
    <tableColumn id="7" name="Í6"/>
    <tableColumn id="8" name="Í7"/>
    <tableColumn id="9" name="Í8"/>
    <tableColumn id="10" name="Í9"/>
    <tableColumn id="11" name="Í10"/>
    <tableColumn id="12" name="SUS"/>
  </tableColumns>
  <tableStyleInfo name="TableStyleLight15" showRowStripes="1" showColumnStripes="0"/>
</table>
</file>

<file path=xl/tables/table16.xml><?xml version="1.0" encoding="utf-8"?>
<table xmlns="http://schemas.openxmlformats.org/spreadsheetml/2006/main" id="16" name="T09_3" displayName="T09_3" ref="A19:B29" headerRowCount="1">
  <autoFilter ref="A19:B29"/>
  <tableColumns count="2">
    <tableColumn id="1" name="N.º"/>
    <tableColumn id="2" name="Ítem del cuestionario"/>
  </tableColumns>
  <tableStyleInfo name="TableStyleLight15" showRowStripes="1" showColumnStripes="0"/>
</table>
</file>

<file path=xl/tables/table17.xml><?xml version="1.0" encoding="utf-8"?>
<table xmlns="http://schemas.openxmlformats.org/spreadsheetml/2006/main" id="17" name="T10_1" displayName="T10_1" ref="A4:N40" headerRowCount="1">
  <autoFilter ref="A4:N40"/>
  <tableColumns count="14">
    <tableColumn id="1" name="ID"/>
    <tableColumn id="2" name="Ciclo"/>
    <tableColumn id="3" name="Fecha"/>
    <tableColumn id="4" name="Fuente de evidencia"/>
    <tableColumn id="5" name="Pantalla / tarea"/>
    <tableColumn id="6" name="Hallazgo (fricción)"/>
    <tableColumn id="7" name="Evidencia (cita u observación)"/>
    <tableColumn id="8" name="Frecuencia"/>
    <tableColumn id="9" name="Impacto"/>
    <tableColumn id="10" name="Persistencia"/>
    <tableColumn id="11" name="Severidad (0–4)"/>
    <tableColumn id="12" name="Mejora incorporada"/>
    <tableColumn id="13" name="Versión"/>
    <tableColumn id="14" name="Estado"/>
  </tableColumns>
  <tableStyleInfo name="TableStyleLight15" showRowStripes="1" showColumnStripes="0"/>
</table>
</file>

<file path=xl/tables/table18.xml><?xml version="1.0" encoding="utf-8"?>
<table xmlns="http://schemas.openxmlformats.org/spreadsheetml/2006/main" id="18" name="T11_1" displayName="T11_1" ref="A4:E21" headerRowCount="1">
  <autoFilter ref="A4:E21"/>
  <tableColumns count="5">
    <tableColumn id="1" name="Métrica de diseño"/>
    <tableColumn id="2" name="v3 (09-10)"/>
    <tableColumn id="3" name="v4 (10-10)"/>
    <tableColumn id="4" name="v5 (12-10)"/>
    <tableColumn id="5" name="Cómo se verificó"/>
  </tableColumns>
  <tableStyleInfo name="TableStyleLight15" showRowStripes="1" showColumnStripes="0"/>
</table>
</file>

<file path=xl/tables/table19.xml><?xml version="1.0" encoding="utf-8"?>
<table xmlns="http://schemas.openxmlformats.org/spreadsheetml/2006/main" id="19" name="T11_2" displayName="T11_2" ref="A24:E31" headerRowCount="1">
  <autoFilter ref="A24:E31"/>
  <tableColumns count="5">
    <tableColumn id="1" name="Parte B · Resultado del test (ronda 1, 15-10-2026)"/>
    <tableColumn id="2" name="Umbral"/>
    <tableColumn id="3" name="Resultado"/>
    <tableColumn id="4" name="¿Cumple?"/>
    <tableColumn id="5" name="Fuente"/>
  </tableColumns>
  <tableStyleInfo name="TableStyleLight15" showRowStripes="1" showColumnStripes="0"/>
</table>
</file>

<file path=xl/tables/table20.xml><?xml version="1.0" encoding="utf-8"?>
<table xmlns="http://schemas.openxmlformats.org/spreadsheetml/2006/main" id="20" name="T11_3" displayName="T11_3" ref="A34:E49" headerRowCount="1">
  <autoFilter ref="A34:E49"/>
  <tableColumns count="5">
    <tableColumn id="1" name="Parte C · Cambio verificado después del test (v5 probado → v6.1)"/>
    <tableColumn id="2" name="v5 (probado el 15-10)"/>
    <tableColumn id="3" name="v6.1 (15-10)"/>
    <tableColumn id="4" name="Cómo se verificó"/>
    <tableColumn id="5" name="Hallazgo"/>
  </tableColumns>
  <tableStyleInfo name="TableStyleLight15" showRowStripes="1" showColumnStripes="0"/>
</table>
</file>

<file path=xl/tables/table21.xml><?xml version="1.0" encoding="utf-8"?>
<table xmlns="http://schemas.openxmlformats.org/spreadsheetml/2006/main" id="21" name="T12_1" displayName="T12_1" ref="A4:H32" headerRowCount="1">
  <autoFilter ref="A4:H32"/>
  <tableColumns count="8">
    <tableColumn id="1" name="ID"/>
    <tableColumn id="2" name="Tipo"/>
    <tableColumn id="3" name="Descripción"/>
    <tableColumn id="4" name="Riesgo si es falso"/>
    <tableColumn id="5" name="Cómo se valida / experimento"/>
    <tableColumn id="6" name="Métrica"/>
    <tableColumn id="7" name="Criterio de decisión"/>
    <tableColumn id="8" name="Prioridad"/>
  </tableColumns>
  <tableStyleInfo name="TableStyleLight15" showRowStripes="1" showColumnStripes="0"/>
</table>
</file>

<file path=xl/tables/table22.xml><?xml version="1.0" encoding="utf-8"?>
<table xmlns="http://schemas.openxmlformats.org/spreadsheetml/2006/main" id="22" name="T13_1" displayName="T13_1" ref="A4:B50" headerRowCount="1">
  <autoFilter ref="A4:B50"/>
  <tableColumns count="2">
    <tableColumn id="1" name="Término"/>
    <tableColumn id="2" name="Definición"/>
  </tableColumns>
  <tableStyleInfo name="TableStyleLight15" showRowStripes="1" showColumnStripes="0"/>
</table>
</file>

<file path=xl/tables/table23.xml><?xml version="1.0" encoding="utf-8"?>
<table xmlns="http://schemas.openxmlformats.org/spreadsheetml/2006/main" id="23" name="T14_1" displayName="T14_1" ref="A4:D36" headerRowCount="1">
  <autoFilter ref="A4:D36"/>
  <tableColumns count="4">
    <tableColumn id="1" name="Versión"/>
    <tableColumn id="2" name="Fecha"/>
    <tableColumn id="3" name="Archivo"/>
    <tableColumn id="4" name="Cambio principal"/>
  </tableColumns>
  <tableStyleInfo name="TableStyleLight15" showRowStripes="1" showColumnStripes="0"/>
</table>
</file>

<file path=xl/tables/table24.xml><?xml version="1.0" encoding="utf-8"?>
<table xmlns="http://schemas.openxmlformats.org/spreadsheetml/2006/main" id="24" name="T15_1" displayName="T15_1" ref="A4:K11" headerRowCount="1">
  <autoFilter ref="A4:K11"/>
  <tableColumns count="11">
    <tableColumn id="1" name="LM"/>
    <tableColumn id="2" name="Nombre"/>
    <tableColumn id="3" name="Promesa (texto en pantalla)"/>
    <tableColumn id="4" name="Pantalla"/>
    <tableColumn id="5" name="Aparece"/>
    <tableColumn id="6" name="Qué recibe el cliente"/>
    <tableColumn id="7" name="Qué obtiene Marley Coffee"/>
    <tableColumn id="8" name="Señal / puntaje"/>
    <tableColumn id="9" name="Agente"/>
    <tableColumn id="10" name="Indicador para medirlo"/>
    <tableColumn id="11" name="Siguiente paso"/>
  </tableColumns>
  <tableStyleInfo name="TableStyleLight15" showRowStripes="1" showColumnStripes="0"/>
</table>
</file>

<file path=xl/tables/table25.xml><?xml version="1.0" encoding="utf-8"?>
<table xmlns="http://schemas.openxmlformats.org/spreadsheetml/2006/main" id="25" name="T16_1" displayName="T16_1" ref="A4:D22" headerRowCount="1">
  <autoFilter ref="A4:D22"/>
  <tableColumns count="4">
    <tableColumn id="1" name="Concepto"/>
    <tableColumn id="2" name="Hoy"/>
    <tableColumn id="3" name="Meta / escenario"/>
    <tableColumn id="4" name="Fórmula o fuente"/>
  </tableColumns>
  <tableStyleInfo name="TableStyleLight15" showRowStripes="1" showColumnStripes="0"/>
</table>
</file>

<file path=xl/tables/table26.xml><?xml version="1.0" encoding="utf-8"?>
<table xmlns="http://schemas.openxmlformats.org/spreadsheetml/2006/main" id="26" name="T17_1" displayName="T17_1" ref="A4:F15" headerRowCount="1">
  <autoFilter ref="A4:F15"/>
  <tableColumns count="6">
    <tableColumn id="1" name="Sistema"/>
    <tableColumn id="2" name="Qué guarda o hace"/>
    <tableColumn id="3" name="Evidencia"/>
    <tableColumn id="4" name="Conexión"/>
    <tableColumn id="5" name="Estado para el piloto"/>
    <tableColumn id="6" name="Alternativa si no hay API"/>
  </tableColumns>
  <tableStyleInfo name="TableStyleLight15" showRowStripes="1" showColumnStripes="0"/>
</table>
</file>

<file path=xl/tables/table27.xml><?xml version="1.0" encoding="utf-8"?>
<table xmlns="http://schemas.openxmlformats.org/spreadsheetml/2006/main" id="27" name="T17_2" displayName="T17_2" ref="A18:F51" headerRowCount="1">
  <autoFilter ref="A18:F51"/>
  <tableColumns count="6">
    <tableColumn id="1" name="Acción del agente"/>
    <tableColumn id="2" name="Método"/>
    <tableColumn id="3" name="Endpoint propio"/>
    <tableColumn id="4" name="Sistema destino"/>
    <tableColumn id="5" name="Qué hace / API del sistema"/>
    <tableColumn id="6" name="Decide una persona"/>
  </tableColumns>
  <tableStyleInfo name="TableStyleLight15" showRowStripes="1" showColumnStripes="0"/>
</table>
</file>

<file path=xl/tables/table28.xml><?xml version="1.0" encoding="utf-8"?>
<table xmlns="http://schemas.openxmlformats.org/spreadsheetml/2006/main" id="28" name="T17_3" displayName="T17_3" ref="A54:G61" headerRowCount="1">
  <autoFilter ref="A54:G61"/>
  <tableColumns count="7">
    <tableColumn id="1" name="Área"/>
    <tableColumn id="2" name="Hoy (manual) *"/>
    <tableColumn id="3" name="Agente"/>
    <tableColumn id="4" name="Hace solo"/>
    <tableColumn id="5" name="Decide una persona"/>
    <tableColumn id="6" name="Sistemas"/>
    <tableColumn id="7" name="KPI"/>
  </tableColumns>
  <tableStyleInfo name="TableStyleLight15" showRowStripes="1" showColumnStripes="0"/>
</table>
</file>

<file path=xl/tables/table29.xml><?xml version="1.0" encoding="utf-8"?>
<table xmlns="http://schemas.openxmlformats.org/spreadsheetml/2006/main" id="29" name="T18_1" displayName="T18_1" ref="A4:K11" headerRowCount="1">
  <autoFilter ref="A4:K11"/>
  <tableColumns count="11">
    <tableColumn id="1" name="Flywheel"/>
    <tableColumn id="2" name="Etapa del embudo"/>
    <tableColumn id="3" name="Objetivo"/>
    <tableColumn id="4" name="Segmento"/>
    <tableColumn id="5" name="Pieza (audiovisual o gráfica)"/>
    <tableColumn id="6" name="Lead magnet"/>
    <tableColumn id="7" name="Canal"/>
    <tableColumn id="8" name="Gatillador y workflow"/>
    <tableColumn id="9" name="Agente"/>
    <tableColumn id="10" name="KPI"/>
    <tableColumn id="11" name="Puntaje que suma (acumulado)"/>
  </tableColumns>
  <tableStyleInfo name="TableStyleLight15" showRowStripes="1" showColumnStripes="0"/>
</table>
</file>

<file path=xl/tables/table30.xml><?xml version="1.0" encoding="utf-8"?>
<table xmlns="http://schemas.openxmlformats.org/spreadsheetml/2006/main" id="30" name="T18_2" displayName="T18_2" ref="A14:E18" headerRowCount="1">
  <autoFilter ref="A14:E18"/>
  <tableColumns count="5">
    <tableColumn id="1" name="Negocio"/>
    <tableColumn id="2" name="Exploración (pieza)"/>
    <tableColumn id="3" name="Evaluación: LM3 muestra"/>
    <tableColumn id="4" name="Conversión y expansión: LM4 / LM6 ofrecen primero"/>
    <tableColumn id="5" name="Nutrición W10 (A/B: guía + video; C/R: guía + cobertura)"/>
  </tableColumns>
  <tableStyleInfo name="TableStyleLight15" showRowStripes="1" showColumnStripes="0"/>
</table>
</file>

<file path=xl/tables/table31.xml><?xml version="1.0" encoding="utf-8"?>
<table xmlns="http://schemas.openxmlformats.org/spreadsheetml/2006/main" id="31" name="T18_3" displayName="T18_3" ref="A21:D37" headerRowCount="1">
  <autoFilter ref="A21:D37"/>
  <tableColumns count="4">
    <tableColumn id="1" name="Etapa del flywheel"/>
    <tableColumn id="2" name="Táctica"/>
    <tableColumn id="3" name="Qué se hace"/>
    <tableColumn id="4" name="Cómo se mide"/>
  </tableColumns>
  <tableStyleInfo name="TableStyleLight15" showRowStripes="1" showColumnStripes="0"/>
</table>
</file>

<file path=xl/tables/table32.xml><?xml version="1.0" encoding="utf-8"?>
<table xmlns="http://schemas.openxmlformats.org/spreadsheetml/2006/main" id="32" name="T19_1" displayName="T19_1" ref="A4:K8" headerRowCount="1">
  <autoFilter ref="A4:K8"/>
  <tableColumns count="11">
    <tableColumn id="1" name="ID"/>
    <tableColumn id="2" name="Máquina"/>
    <tableColumn id="3" name="Tipo"/>
    <tableColumn id="4" name="Para"/>
    <tableColumn id="5" name="Tazas al día"/>
    <tableColumn id="6" name="Formato"/>
    <tableColumn id="7" name="Personal"/>
    <tableColumn id="8" name="Compra directa mín (pago único)"/>
    <tableColumn id="9" name="Compra directa máx (pago único)"/>
    <tableColumn id="10" name="Arriendo mín / mes"/>
    <tableColumn id="11" name="Arriendo máx / mes"/>
  </tableColumns>
  <tableStyleInfo name="TableStyleLight15" showRowStripes="1" showColumnStripes="0"/>
</table>
</file>

<file path=xl/tables/table33.xml><?xml version="1.0" encoding="utf-8"?>
<table xmlns="http://schemas.openxmlformats.org/spreadsheetml/2006/main" id="33" name="T19_2" displayName="T19_2" ref="A10:H13" headerRowCount="1">
  <autoFilter ref="A10:H13"/>
  <tableColumns count="8">
    <tableColumn id="1" name="Insumo"/>
    <tableColumn id="2" name="Unidad"/>
    <tableColumn id="3" name="Precio mín"/>
    <tableColumn id="4" name="Precio máx"/>
    <tableColumn id="5" name="Tazas por unidad"/>
    <tableColumn id="6" name="Costo por taza mín"/>
    <tableColumn id="7" name="Costo por taza máx"/>
    <tableColumn id="8" name="Nota"/>
  </tableColumns>
  <tableStyleInfo name="TableStyleLight15" showRowStripes="1" showColumnStripes="0"/>
</table>
</file>

<file path=xl/tables/table34.xml><?xml version="1.0" encoding="utf-8"?>
<table xmlns="http://schemas.openxmlformats.org/spreadsheetml/2006/main" id="34" name="T19_3" displayName="T19_3" ref="A15:F22" headerRowCount="1">
  <autoFilter ref="A15:F22"/>
  <tableColumns count="6">
    <tableColumn id="1" name="Servicio"/>
    <tableColumn id="2" name="Descripción"/>
    <tableColumn id="3" name="Mín"/>
    <tableColumn id="4" name="Máx"/>
    <tableColumn id="5" name="Unidad"/>
    <tableColumn id="6" name="Fuente"/>
  </tableColumns>
  <tableStyleInfo name="TableStyleLight15" showRowStripes="1" showColumnStripes="0"/>
</table>
</file>

<file path=xl/tables/table35.xml><?xml version="1.0" encoding="utf-8"?>
<table xmlns="http://schemas.openxmlformats.org/spreadsheetml/2006/main" id="35" name="T19_4" displayName="T19_4" ref="A24:D26" headerRowCount="1">
  <autoFilter ref="A24:D26"/>
  <tableColumns count="4">
    <tableColumn id="1" name="Referencia pública (dato real)"/>
    <tableColumn id="2" name="Mín"/>
    <tableColumn id="3" name="Máx"/>
    <tableColumn id="4" name="Fuente"/>
  </tableColumns>
  <tableStyleInfo name="TableStyleLight15" showRowStripes="1" showColumnStripes="0"/>
</table>
</file>

<file path=xl/tables/table36.xml><?xml version="1.0" encoding="utf-8"?>
<table xmlns="http://schemas.openxmlformats.org/spreadsheetml/2006/main" id="36" name="T19_5" displayName="T19_5" ref="A48:D51" headerRowCount="1">
  <autoFilter ref="A48:D51"/>
  <tableColumns count="4">
    <tableColumn id="1" name="Modalidad"/>
    <tableColumn id="2" name="Estado"/>
    <tableColumn id="3" name="Base"/>
    <tableColumn id="4" name="Cómo se presenta"/>
  </tableColumns>
  <tableStyleInfo name="TableStyleLight15" showRowStripes="1" showColumnStripes="0"/>
</table>
</file>

<file path=xl/tables/table37.xml><?xml version="1.0" encoding="utf-8"?>
<table xmlns="http://schemas.openxmlformats.org/spreadsheetml/2006/main" id="37" name="T20_1" displayName="T20_1" ref="A4:G7" headerRowCount="1">
  <autoFilter ref="A4:G7"/>
  <tableColumns count="7">
    <tableColumn id="1" name="Rol"/>
    <tableColumn id="2" name="Usuario (demo)"/>
    <tableColumn id="3" name="Pregunta que decide"/>
    <tableColumn id="4" name="Inicio"/>
    <tableColumn id="5" name="Menú (5 secciones)"/>
    <tableColumn id="6" name="Qué ve"/>
    <tableColumn id="7" name="Qué no ve"/>
  </tableColumns>
  <tableStyleInfo name="TableStyleLight15" showRowStripes="1" showColumnStripes="0"/>
</table>
</file>

<file path=xl/tables/table38.xml><?xml version="1.0" encoding="utf-8"?>
<table xmlns="http://schemas.openxmlformats.org/spreadsheetml/2006/main" id="38" name="T21_1" displayName="T21_1" ref="A4:D12" headerRowCount="1">
  <autoFilter ref="A4:D12"/>
  <tableColumns count="4">
    <tableColumn id="1" name="Pantalla"/>
    <tableColumn id="2" name="Título (title)"/>
    <tableColumn id="3" name="Descripción (meta description)"/>
    <tableColumn id="4" name="Datos estructurados (JSON-LD)"/>
  </tableColumns>
  <tableStyleInfo name="TableStyleLight15" showRowStripes="1" showColumnStripes="0"/>
</table>
</file>

<file path=xl/tables/table39.xml><?xml version="1.0" encoding="utf-8"?>
<table xmlns="http://schemas.openxmlformats.org/spreadsheetml/2006/main" id="39" name="T21_2" displayName="T21_2" ref="A14:D22" headerRowCount="1">
  <autoFilter ref="A14:D22"/>
  <tableColumns count="4">
    <tableColumn id="1" name="Intención de búsqueda (no marca)"/>
    <tableColumn id="2" name="Tipo"/>
    <tableColumn id="3" name="Página destino"/>
    <tableColumn id="4" name="Bloque que responde"/>
  </tableColumns>
  <tableStyleInfo name="TableStyleLight15" showRowStripes="1" showColumnStripes="0"/>
</table>
</file>

<file path=xl/tables/table40.xml><?xml version="1.0" encoding="utf-8"?>
<table xmlns="http://schemas.openxmlformats.org/spreadsheetml/2006/main" id="40" name="T21_3" displayName="T21_3" ref="A25:E38" headerRowCount="1">
  <autoFilter ref="A25:E38"/>
  <tableColumns count="5">
    <tableColumn id="1" name="Página"/>
    <tableColumn id="2" name="Nivel"/>
    <tableColumn id="3" name="Antes"/>
    <tableColumn id="4" name="Ahora"/>
    <tableColumn id="5" name="Intención o consulta que cubre"/>
  </tableColumns>
  <tableStyleInfo name="TableStyleLight15" showRowStripes="1" showColumnStripes="0"/>
</table>
</file>

<file path=xl/tables/table41.xml><?xml version="1.0" encoding="utf-8"?>
<table xmlns="http://schemas.openxmlformats.org/spreadsheetml/2006/main" id="41" name="T22_1" displayName="T22_1" ref="A4:I21" headerRowCount="1">
  <autoFilter ref="A4:I21"/>
  <tableColumns count="9">
    <tableColumn id="1" name="ID"/>
    <tableColumn id="2" name="Pantalla"/>
    <tableColumn id="3" name="Problema observado"/>
    <tableColumn id="4" name="Evidencia"/>
    <tableColumn id="5" name="Cambio aplicado en v6"/>
    <tableColumn id="6" name="Cómo se mide en la ronda 2"/>
    <tableColumn id="7" name="Meta"/>
    <tableColumn id="8" name="Hallazgo"/>
    <tableColumn id="9" name="Estado"/>
  </tableColumns>
  <tableStyleInfo name="TableStyleLight15" showRowStripes="1" showColumnStripes="0"/>
</table>
</file>

<file path=xl/tables/table42.xml><?xml version="1.0" encoding="utf-8"?>
<table xmlns="http://schemas.openxmlformats.org/spreadsheetml/2006/main" id="42" name="T23_1" displayName="T23_1" ref="A4:H10" headerRowCount="1">
  <autoFilter ref="A4:H10"/>
  <tableColumns count="8">
    <tableColumn id="1" name="Momento"/>
    <tableColumn id="2" name="Qué necesita la persona"/>
    <tableColumn id="3" name="Datos mínimos"/>
    <tableColumn id="4" name="Qué hace la IA"/>
    <tableColumn id="5" name="Quién decide o responde"/>
    <tableColumn id="6" name="Siguiente acción"/>
    <tableColumn id="7" name="Recuperación / límite"/>
    <tableColumn id="8" name="Pantallas"/>
  </tableColumns>
  <tableStyleInfo name="TableStyleLight15" showRowStripes="1" showColumnStripes="0"/>
</table>
</file>

<file path=xl/tables/table43.xml><?xml version="1.0" encoding="utf-8"?>
<table xmlns="http://schemas.openxmlformats.org/spreadsheetml/2006/main" id="43" name="T23_2" displayName="T23_2" ref="A12:D19" headerRowCount="1">
  <autoFilter ref="A12:D19"/>
  <tableColumns count="4">
    <tableColumn id="1" name="Estado"/>
    <tableColumn id="2" name="Cómo entra"/>
    <tableColumn id="3" name="Qué ve la persona"/>
    <tableColumn id="4" name="Control"/>
  </tableColumns>
  <tableStyleInfo name="TableStyleLight15" showRowStripes="1" showColumnStripes="0"/>
</table>
</file>

<file path=xl/tables/table44.xml><?xml version="1.0" encoding="utf-8"?>
<table xmlns="http://schemas.openxmlformats.org/spreadsheetml/2006/main" id="44" name="T23_3" displayName="T23_3" ref="A21:C34" headerRowCount="1">
  <autoFilter ref="A21:C34"/>
  <tableColumns count="3">
    <tableColumn id="1" name="Componente"/>
    <tableColumn id="2" name="Diseño de la integración"/>
    <tableColumn id="3" name="Fuente / estado"/>
  </tableColumns>
  <tableStyleInfo name="TableStyleLight15" showRowStripes="1" showColumnStripes="0"/>
</table>
</file>

<file path=xl/tables/table45.xml><?xml version="1.0" encoding="utf-8"?>
<table xmlns="http://schemas.openxmlformats.org/spreadsheetml/2006/main" id="45" name="T23_4" displayName="T23_4" ref="A36:D45" headerRowCount="1">
  <autoFilter ref="A36:D45"/>
  <tableColumns count="4">
    <tableColumn id="1" name="Criterio de aceptación"/>
    <tableColumn id="2" name="Caso a recorrer"/>
    <tableColumn id="3" name="Resultado que se exige"/>
    <tableColumn id="4" name="Medición"/>
  </tableColumns>
  <tableStyleInfo name="TableStyleLight15" showRowStripes="1" showColumnStripes="0"/>
</table>
</file>

<file path=xl/tables/table46.xml><?xml version="1.0" encoding="utf-8"?>
<table xmlns="http://schemas.openxmlformats.org/spreadsheetml/2006/main" id="46" name="T24_1" displayName="T24_1" ref="A4:J21" headerRowCount="1">
  <autoFilter ref="A4:J21"/>
  <tableColumns count="10">
    <tableColumn id="1" name="ID"/>
    <tableColumn id="2" name="Conexión"/>
    <tableColumn id="3" name="Estado"/>
    <tableColumn id="4" name="Evidencia y alcance"/>
    <tableColumn id="5" name="Recurso verificable"/>
    <tableColumn id="6" name="Fuente primaria / referencia"/>
    <tableColumn id="7" name="Qué habilita"/>
    <tableColumn id="8" name="Acceso requerido"/>
    <tableColumn id="9" name="Prueba de aceptación"/>
    <tableColumn id="10" name="Dependencia / límite"/>
  </tableColumns>
  <tableStyleInfo name="TableStyleLight15" showRowStripes="1" showColumnStripes="0"/>
</table>
</file>

<file path=xl/tables/table47.xml><?xml version="1.0" encoding="utf-8"?>
<table xmlns="http://schemas.openxmlformats.org/spreadsheetml/2006/main" id="47" name="T24_2" displayName="T24_2" ref="A23:C26" headerRowCount="1">
  <autoFilter ref="A23:C26"/>
  <tableColumns count="3">
    <tableColumn id="1" name="Nivel de evidencia"/>
    <tableColumn id="2" name="Qué demuestra"/>
    <tableColumn id="3" name="Qué no demuestra"/>
  </tableColumns>
  <tableStyleInfo name="TableStyleLight15" showRowStripes="1" showColumnStripes="0"/>
</table>
</file>

<file path=xl/tables/table48.xml><?xml version="1.0" encoding="utf-8"?>
<table xmlns="http://schemas.openxmlformats.org/spreadsheetml/2006/main" id="48" name="T24_3" displayName="T24_3" ref="A28:C33" headerRowCount="1">
  <autoFilter ref="A28:C33"/>
  <tableColumns count="3">
    <tableColumn id="1" name="Capa"/>
    <tableColumn id="2" name="Estado"/>
    <tableColumn id="3" name="Función y conexión"/>
  </tableColumns>
  <tableStyleInfo name="TableStyleLight15"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8.xml.rels><Relationships xmlns="http://schemas.openxmlformats.org/package/2006/relationships"><Relationship Type="http://schemas.openxmlformats.org/officeDocument/2006/relationships/table" Target="/xl/tables/table11.xml" Id="rId1"/></Relationships>
</file>

<file path=xl/worksheets/_rels/sheet9.xml.rels><Relationships xmlns="http://schemas.openxmlformats.org/package/2006/relationships"><Relationship Type="http://schemas.openxmlformats.org/officeDocument/2006/relationships/table" Target="/xl/tables/table12.xml" Id="rId1"/><Relationship Type="http://schemas.openxmlformats.org/officeDocument/2006/relationships/table" Target="/xl/tables/table13.xml" Id="rId2"/></Relationships>
</file>

<file path=xl/worksheets/_rels/sheet10.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 Type="http://schemas.openxmlformats.org/officeDocument/2006/relationships/table" Target="/xl/tables/table16.xml" Id="rId3"/></Relationships>
</file>

<file path=xl/worksheets/_rels/sheet11.xml.rels><Relationships xmlns="http://schemas.openxmlformats.org/package/2006/relationships"><Relationship Type="http://schemas.openxmlformats.org/officeDocument/2006/relationships/table" Target="/xl/tables/table17.xml" Id="rId1"/></Relationships>
</file>

<file path=xl/worksheets/_rels/sheet12.xml.rels><Relationships xmlns="http://schemas.openxmlformats.org/package/2006/relationships"><Relationship Type="http://schemas.openxmlformats.org/officeDocument/2006/relationships/table" Target="/xl/tables/table18.xml" Id="rId1"/><Relationship Type="http://schemas.openxmlformats.org/officeDocument/2006/relationships/table" Target="/xl/tables/table19.xml" Id="rId2"/><Relationship Type="http://schemas.openxmlformats.org/officeDocument/2006/relationships/table" Target="/xl/tables/table20.xml" Id="rId3"/></Relationships>
</file>

<file path=xl/worksheets/_rels/sheet13.xml.rels><Relationships xmlns="http://schemas.openxmlformats.org/package/2006/relationships"><Relationship Type="http://schemas.openxmlformats.org/officeDocument/2006/relationships/table" Target="/xl/tables/table21.xml" Id="rId1"/></Relationships>
</file>

<file path=xl/worksheets/_rels/sheet14.xml.rels><Relationships xmlns="http://schemas.openxmlformats.org/package/2006/relationships"><Relationship Type="http://schemas.openxmlformats.org/officeDocument/2006/relationships/table" Target="/xl/tables/table22.xml" Id="rId1"/></Relationships>
</file>

<file path=xl/worksheets/_rels/sheet15.xml.rels><Relationships xmlns="http://schemas.openxmlformats.org/package/2006/relationships"><Relationship Type="http://schemas.openxmlformats.org/officeDocument/2006/relationships/table" Target="/xl/tables/table23.xml" Id="rId1"/></Relationships>
</file>

<file path=xl/worksheets/_rels/sheet16.xml.rels><Relationships xmlns="http://schemas.openxmlformats.org/package/2006/relationships"><Relationship Type="http://schemas.openxmlformats.org/officeDocument/2006/relationships/table" Target="/xl/tables/table24.xml" Id="rId1"/></Relationships>
</file>

<file path=xl/worksheets/_rels/sheet17.xml.rels><Relationships xmlns="http://schemas.openxmlformats.org/package/2006/relationships"><Relationship Type="http://schemas.openxmlformats.org/officeDocument/2006/relationships/table" Target="/xl/tables/table25.xml" Id="rId1"/></Relationships>
</file>

<file path=xl/worksheets/_rels/sheet18.xml.rels><Relationships xmlns="http://schemas.openxmlformats.org/package/2006/relationships"><Relationship Type="http://schemas.openxmlformats.org/officeDocument/2006/relationships/table" Target="/xl/tables/table26.xml" Id="rId1"/><Relationship Type="http://schemas.openxmlformats.org/officeDocument/2006/relationships/table" Target="/xl/tables/table27.xml" Id="rId2"/><Relationship Type="http://schemas.openxmlformats.org/officeDocument/2006/relationships/table" Target="/xl/tables/table28.xml" Id="rId3"/></Relationships>
</file>

<file path=xl/worksheets/_rels/sheet19.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s>
</file>

<file path=xl/worksheets/_rels/sheet20.xml.rels><Relationships xmlns="http://schemas.openxmlformats.org/package/2006/relationships"><Relationship Type="http://schemas.openxmlformats.org/officeDocument/2006/relationships/table" Target="/xl/tables/table32.xml" Id="rId1"/><Relationship Type="http://schemas.openxmlformats.org/officeDocument/2006/relationships/table" Target="/xl/tables/table33.xml" Id="rId2"/><Relationship Type="http://schemas.openxmlformats.org/officeDocument/2006/relationships/table" Target="/xl/tables/table34.xml" Id="rId3"/><Relationship Type="http://schemas.openxmlformats.org/officeDocument/2006/relationships/table" Target="/xl/tables/table35.xml" Id="rId4"/><Relationship Type="http://schemas.openxmlformats.org/officeDocument/2006/relationships/table" Target="/xl/tables/table36.xml" Id="rId5"/></Relationships>
</file>

<file path=xl/worksheets/_rels/sheet21.xml.rels><Relationships xmlns="http://schemas.openxmlformats.org/package/2006/relationships"><Relationship Type="http://schemas.openxmlformats.org/officeDocument/2006/relationships/table" Target="/xl/tables/table37.xml" Id="rId1"/></Relationships>
</file>

<file path=xl/worksheets/_rels/sheet22.xml.rels><Relationships xmlns="http://schemas.openxmlformats.org/package/2006/relationships"><Relationship Type="http://schemas.openxmlformats.org/officeDocument/2006/relationships/table" Target="/xl/tables/table38.xml" Id="rId1"/><Relationship Type="http://schemas.openxmlformats.org/officeDocument/2006/relationships/table" Target="/xl/tables/table39.xml" Id="rId2"/><Relationship Type="http://schemas.openxmlformats.org/officeDocument/2006/relationships/table" Target="/xl/tables/table40.xml" Id="rId3"/></Relationships>
</file>

<file path=xl/worksheets/_rels/sheet23.xml.rels><Relationships xmlns="http://schemas.openxmlformats.org/package/2006/relationships"><Relationship Type="http://schemas.openxmlformats.org/officeDocument/2006/relationships/table" Target="/xl/tables/table41.xml" Id="rId1"/></Relationships>
</file>

<file path=xl/worksheets/_rels/sheet24.xml.rels><Relationships xmlns="http://schemas.openxmlformats.org/package/2006/relationships"><Relationship Type="http://schemas.openxmlformats.org/officeDocument/2006/relationships/table" Target="/xl/tables/table42.xml" Id="rId1"/><Relationship Type="http://schemas.openxmlformats.org/officeDocument/2006/relationships/table" Target="/xl/tables/table43.xml" Id="rId2"/><Relationship Type="http://schemas.openxmlformats.org/officeDocument/2006/relationships/table" Target="/xl/tables/table44.xml" Id="rId3"/><Relationship Type="http://schemas.openxmlformats.org/officeDocument/2006/relationships/table" Target="/xl/tables/table45.xml" Id="rId4"/></Relationships>
</file>

<file path=xl/worksheets/_rels/sheet25.xml.rels><Relationships xmlns="http://schemas.openxmlformats.org/package/2006/relationships"><Relationship Type="http://schemas.openxmlformats.org/officeDocument/2006/relationships/table" Target="/xl/tables/table46.xml" Id="rId1"/><Relationship Type="http://schemas.openxmlformats.org/officeDocument/2006/relationships/table" Target="/xl/tables/table47.xml" Id="rId2"/><Relationship Type="http://schemas.openxmlformats.org/officeDocument/2006/relationships/table" Target="/xl/tables/table48.xml" Id="rId3"/></Relationships>
</file>

<file path=xl/worksheets/sheet1.xml><?xml version="1.0" encoding="utf-8"?>
<worksheet xmlns="http://schemas.openxmlformats.org/spreadsheetml/2006/main">
  <sheetPr>
    <tabColor rgb="00171717"/>
    <outlinePr summaryBelow="1" summaryRight="1"/>
    <pageSetUpPr fitToPage="1"/>
  </sheetPr>
  <dimension ref="A1:B29"/>
  <sheetViews>
    <sheetView showGridLines="0" zoomScale="90" workbookViewId="0">
      <pane ySplit="4" topLeftCell="A5" activePane="bottomLeft" state="frozen"/>
      <selection pane="bottomLeft" activeCell="A1" sqref="A1"/>
    </sheetView>
  </sheetViews>
  <sheetFormatPr baseColWidth="8" defaultRowHeight="15"/>
  <cols>
    <col width="26" customWidth="1" min="1" max="1"/>
    <col width="110" customWidth="1" min="2" max="2"/>
  </cols>
  <sheetData>
    <row r="1" ht="28" customHeight="1">
      <c r="A1" s="1" t="inlineStr">
        <is>
          <t>Anexo E · Matrices auditables del MVP Marley Coffee HORECA</t>
        </is>
      </c>
      <c r="B1" s="2" t="n"/>
    </row>
    <row r="2" ht="16" customHeight="1">
      <c r="A2" s="3" t="str">
        <v>Versión1.9 ·19-10-2026 · Modelo confirmado: comodato y compra mensual de insumos. Recorrido: Productos C10 → Máquinas C11 → Contacto C03 → Diagnóstico C04. El test15oct corresponde a la versión anterior; no valida estas mejoras.</v>
      </c>
    </row>
    <row r="3"/>
    <row r="4" ht="30" customHeight="1">
      <c r="A4" s="4" t="inlineStr">
        <is>
          <t>Hoja</t>
        </is>
      </c>
      <c r="B4" s="4" t="inlineStr">
        <is>
          <t>Contenido</t>
        </is>
      </c>
    </row>
    <row r="5">
      <c r="A5" s="5" t="inlineStr">
        <is>
          <t>01_ENGAGEMENT</t>
        </is>
      </c>
      <c r="B5" s="6" t="inlineStr">
        <is>
          <t>Engagement Score v1.1: 13 eventos M2 + evento 14 (comuna). Calculadora con 3 casos; cambia las celdas amarillas.</t>
        </is>
      </c>
    </row>
    <row r="6">
      <c r="A6" s="5" t="inlineStr">
        <is>
          <t>02_ZONAS</t>
        </is>
      </c>
      <c r="B6" s="6" t="inlineStr">
        <is>
          <t>Comunas, prioridad geográfica (A, B, C, regiones), puntos, potencial, ejecutiva de zona (ficticia) y ruta (demo).</t>
        </is>
      </c>
    </row>
    <row r="7">
      <c r="A7" s="5" t="inlineStr">
        <is>
          <t>03_FINANCIAL</t>
        </is>
      </c>
      <c r="B7" s="6" t="inlineStr">
        <is>
          <t>Financial Score v0.1 con pesos editables y cálculo para 20 cuentas ficticias; compara con el valor del prototipo.</t>
        </is>
      </c>
    </row>
    <row r="8">
      <c r="A8" s="5" t="inlineStr">
        <is>
          <t>04_KPIS</t>
        </is>
      </c>
      <c r="B8" s="6" t="inlineStr">
        <is>
          <t>KPIs comerciales, operacionales, de inbound y de experiencia: fórmula, unidad, ventana, fuente, frecuencia, responsable y umbral.</t>
        </is>
      </c>
    </row>
    <row r="9">
      <c r="A9" s="5" t="inlineStr">
        <is>
          <t>05_WORKFLOWS</t>
        </is>
      </c>
      <c r="B9" s="6" t="inlineStr">
        <is>
          <t>Workflows de inbound automatizado: gatillador, condición, espera, canal, contenido, supresión y KPI.</t>
        </is>
      </c>
    </row>
    <row r="10">
      <c r="A10" s="5" t="inlineStr">
        <is>
          <t>06_CONTENIDOS</t>
        </is>
      </c>
      <c r="B10" s="6" t="inlineStr">
        <is>
          <t>Piezas audiovisuales y gráficas por etapa del funnel y segmento, con estado.</t>
        </is>
      </c>
    </row>
    <row r="11">
      <c r="A11" s="5" t="inlineStr">
        <is>
          <t>07_TEST_PLAN</t>
        </is>
      </c>
      <c r="B11" s="6" t="inlineStr">
        <is>
          <t>Plan de test de usabilidad: tareas críticas, criterio de éxito, métricas y umbrales; cuáles se midieron en la ronda 1 (15-10).</t>
        </is>
      </c>
    </row>
    <row r="12">
      <c r="A12" s="5" t="inlineStr">
        <is>
          <t>08_TEST_REGISTRO</t>
        </is>
      </c>
      <c r="B12" s="6" t="inlineStr">
        <is>
          <t>Registro real de la ronda 1 (P1 a P5, 15-10-2026) y filas para la ronda 2. El resumen por tarea se calcula solo.</t>
        </is>
      </c>
    </row>
    <row r="13">
      <c r="A13" s="5" t="inlineStr">
        <is>
          <t>09_SUS</t>
        </is>
      </c>
      <c r="B13" s="6" t="inlineStr">
        <is>
          <t>SUS por participante en la ronda 1 (puntaje registrado por el test) y cuestionario de 10 ítems con su fórmula para la ronda 2.</t>
        </is>
      </c>
    </row>
    <row r="14">
      <c r="A14" s="5" t="inlineStr">
        <is>
          <t>10_HALLAZGOS</t>
        </is>
      </c>
      <c r="B14" s="6" t="inlineStr">
        <is>
          <t>Hallazgos con frecuencia, impacto, severidad (0–4) y mejora. Ciclo 0 = revisión interna (09 a 12-10); ciclo 1 = test con 5 usuarios (15-10).</t>
        </is>
      </c>
    </row>
    <row r="15">
      <c r="A15" s="5" t="inlineStr">
        <is>
          <t>11_COMPARACION</t>
        </is>
      </c>
      <c r="B15" s="6" t="inlineStr">
        <is>
          <t>Comparación v3 → v4 → v5 (métricas de diseño verificadas), resultados de la ronda 1 contra umbrales y cambios v5 → v6 después del test.</t>
        </is>
      </c>
    </row>
    <row r="16">
      <c r="A16" s="5" t="inlineStr">
        <is>
          <t>12_SUPUESTOS</t>
        </is>
      </c>
      <c r="B16" s="6" t="inlineStr">
        <is>
          <t>Hipótesis H1 a H6 (las mismas del informe, con su KPI y su meta), supuestos, trade-offs y próximos experimentos.</t>
        </is>
      </c>
    </row>
    <row r="17">
      <c r="A17" s="5" t="inlineStr">
        <is>
          <t>13_GLOSARIO</t>
        </is>
      </c>
      <c r="B17" s="6" t="inlineStr">
        <is>
          <t>Glosario mínimo de métricas y definiciones.</t>
        </is>
      </c>
    </row>
    <row r="18">
      <c r="A18" s="5" t="inlineStr">
        <is>
          <t>14_VERSIONES</t>
        </is>
      </c>
      <c r="B18" s="6" t="inlineStr">
        <is>
          <t>Versiones y nombres de archivos.</t>
        </is>
      </c>
    </row>
    <row r="19">
      <c r="A19" s="5" t="inlineStr">
        <is>
          <t>15_LEAD_MAGNETS</t>
        </is>
      </c>
      <c r="B19" s="6" t="inlineStr">
        <is>
          <t>Lead magnets LM1–LM7: pantalla, qué recibe el cliente, qué obtiene Marley Coffee, señal, agente, indicador y adaptación por tipo de negocio.</t>
        </is>
      </c>
    </row>
    <row r="20">
      <c r="A20" s="5" t="inlineStr">
        <is>
          <t>16_ECONOMIA_UNITARIA</t>
        </is>
      </c>
      <c r="B20" s="6" t="inlineStr">
        <is>
          <t>Churn, vida esperada, LTV y CAC relativos, NRR necesario y recupero de CAC con las metas del caso; lo que falta queda «por levantar».</t>
        </is>
      </c>
    </row>
    <row r="21">
      <c r="A21" s="5" t="inlineStr">
        <is>
          <t>17_INTEGRACION</t>
        </is>
      </c>
      <c r="B21" s="6" t="inlineStr">
        <is>
          <t>Sistemas de Marley Coffee y forma de conexión, contrato de llamadas de la capa de integración (agente → API → sistema) y capa agéntica por área de la cadena de valor.</t>
        </is>
      </c>
    </row>
    <row r="22">
      <c r="A22" s="5" t="inlineStr">
        <is>
          <t>18_BLUEPRINT_INBOUND</t>
        </is>
      </c>
      <c r="B22" s="6" t="inlineStr">
        <is>
          <t>Blueprint de inbound sobre el flywheel (atraer, interactuar, deleitar): etapa, segmento, pieza, lead magnet, canal, gatillador, agente, KPI y puntaje acumulado; contenido segmentado por negocio.</t>
        </is>
      </c>
    </row>
    <row r="23">
      <c r="A23" s="5" t="inlineStr">
        <is>
          <t>19_PRECIOS_SUPUESTOS</t>
        </is>
      </c>
      <c r="B23" s="6" t="inlineStr">
        <is>
          <t>Máquinas oficiales por tipo de solución, café, pods y servicios con rangos SUPUESTOS (académicos, a validar con Marley Coffee), referencia pública real y calculadora de costo mensual.</t>
        </is>
      </c>
    </row>
    <row r="24">
      <c r="A24" s="5" t="inlineStr">
        <is>
          <t>20_CRM_ROLES</t>
        </is>
      </c>
      <c r="B24" s="6" t="inlineStr">
        <is>
          <t>CRM por rol: Ventas, Marketing y Jefatura; menú, pregunta que decide, qué ve y qué no ve.</t>
        </is>
      </c>
    </row>
    <row r="25">
      <c r="A25" s="5" t="inlineStr">
        <is>
          <t>21_SEO_AEO</t>
        </is>
      </c>
      <c r="B25" s="6" t="inlineStr">
        <is>
          <t>Título, descripción, H1 y datos estructurados por pantalla; intenciones de búsqueda no-marca y su página destino; FAQ con respuesta primero.</t>
        </is>
      </c>
    </row>
    <row r="26">
      <c r="A26" s="5" t="inlineStr">
        <is>
          <t>22_CAMBIOS_TEST</t>
        </is>
      </c>
      <c r="B26" s="6" t="inlineStr">
        <is>
          <t>Lo que se cambió después del test con usuarios: problema observado, evidencia (código del participante y métrica), cambio en v6, cómo se mide en la ronda 2 y meta.</t>
        </is>
      </c>
    </row>
    <row r="27">
      <c r="A27" s="5" t="inlineStr">
        <is>
          <t>23_CONVERSACION_POSTVENTA</t>
        </is>
      </c>
      <c r="B27" s="6" t="inlineStr">
        <is>
          <t>Chat consultivo y seguimiento comercial por correo. WhatsApp solo para postventa iniciada por cliente: estados, traspaso, permisos y criterios de aceptación.</t>
        </is>
      </c>
    </row>
    <row r="28">
      <c r="A28" s="5" t="inlineStr">
        <is>
          <t>24_CONEXIONES</t>
        </is>
      </c>
      <c r="B28" s="6" t="inlineStr">
        <is>
          <t>Viabilidad por conexión: evidencia histórica o pública actual, recurso primario, capacidad, acceso pendiente, prueba de aceptación y dependencia. La demostración local se distingue de la integración productiva.</t>
        </is>
      </c>
    </row>
    <row r="29">
      <c r="A29" s="7" t="inlineStr">
        <is>
          <t>Convención</t>
        </is>
      </c>
      <c r="B29" s="8" t="inlineStr">
        <is>
          <t>Celdas amarillas = datos que se ingresan. Celdas grises = fórmulas. Participantes del test con código (P1 a P5), sin nombres. Datos de clientes, montos y nombres de ejecutivas: ficticios de demostración.</t>
        </is>
      </c>
    </row>
  </sheetData>
  <mergeCells count="1">
    <mergeCell ref="A2:B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F7BE00"/>
    <outlinePr summaryBelow="1" summaryRight="1"/>
    <pageSetUpPr fitToPage="1"/>
  </sheetPr>
  <dimension ref="A1:L28"/>
  <sheetViews>
    <sheetView showGridLines="0" zoomScale="90" workbookViewId="0">
      <pane ySplit="4" topLeftCell="A5" activePane="bottomLeft" state="frozen"/>
      <selection pane="bottomLeft" activeCell="A1" sqref="A1"/>
    </sheetView>
  </sheetViews>
  <sheetFormatPr baseColWidth="8" defaultRowHeight="15"/>
  <cols>
    <col width="5" customWidth="1" min="1" max="1"/>
    <col width="15" customWidth="1" min="2" max="2"/>
    <col width="40" customWidth="1" min="3" max="3"/>
    <col width="9" customWidth="1" min="4" max="4"/>
    <col width="44" customWidth="1" min="5" max="5"/>
    <col width="15" customWidth="1" min="6" max="6"/>
    <col width="15" customWidth="1" min="7" max="7"/>
    <col width="15" customWidth="1" min="8" max="8"/>
    <col width="8" customWidth="1" min="10" max="10"/>
    <col width="18" customWidth="1" min="11" max="11"/>
    <col width="36" customWidth="1" min="12" max="12"/>
  </cols>
  <sheetData>
    <row r="1" ht="28" customHeight="1">
      <c r="A1" s="1" t="inlineStr">
        <is>
          <t>Engagement Score v1.1 · prospectos</t>
        </is>
      </c>
      <c r="B1" s="2" t="n"/>
      <c r="C1" s="2" t="n"/>
      <c r="D1" s="2" t="n"/>
      <c r="E1" s="2" t="n"/>
      <c r="F1" s="2" t="n"/>
      <c r="G1" s="2" t="n"/>
      <c r="H1" s="2" t="n"/>
    </row>
    <row r="2" ht="16" customHeight="1">
      <c r="A2" s="3" t="inlineStr">
        <is>
          <t>13 eventos y pesos de la tabla M2 (informe MVP corregido, fuente [3]) + evento 14 «comuna» (ajuste 10-10). Cada evento suma una vez; tope 100.</t>
        </is>
      </c>
    </row>
    <row r="3"/>
    <row r="4" ht="30" customHeight="1">
      <c r="A4" s="4" t="inlineStr">
        <is>
          <t>N°</t>
        </is>
      </c>
      <c r="B4" s="4" t="inlineStr">
        <is>
          <t>Clave</t>
        </is>
      </c>
      <c r="C4" s="4" t="inlineStr">
        <is>
          <t>Evento</t>
        </is>
      </c>
      <c r="D4" s="4" t="inlineStr">
        <is>
          <t>Puntos</t>
        </is>
      </c>
      <c r="E4" s="4" t="inlineStr">
        <is>
          <t>Regla / control</t>
        </is>
      </c>
      <c r="F4" s="4" t="inlineStr">
        <is>
          <t>Caso A (1 = ocurrió)</t>
        </is>
      </c>
      <c r="G4" s="4" t="inlineStr">
        <is>
          <t>Caso B (1 = ocurrió)</t>
        </is>
      </c>
      <c r="H4" s="4" t="inlineStr">
        <is>
          <t>Caso C (1 = ocurrió)</t>
        </is>
      </c>
      <c r="J4" s="9" t="inlineStr">
        <is>
          <t>Desde</t>
        </is>
      </c>
      <c r="K4" s="9" t="inlineStr">
        <is>
          <t>Banda</t>
        </is>
      </c>
      <c r="L4" s="9" t="inlineStr">
        <is>
          <t>Acción típica</t>
        </is>
      </c>
    </row>
    <row r="5">
      <c r="A5" s="5" t="n">
        <v>1</v>
      </c>
      <c r="B5" s="10" t="inlineStr">
        <is>
          <t>cotizar</t>
        </is>
      </c>
      <c r="C5" s="10" t="inlineStr">
        <is>
          <t>Pulsa «Encontrar mi solución»</t>
        </is>
      </c>
      <c r="D5" s="11" t="n">
        <v>10</v>
      </c>
      <c r="E5" s="10" t="inlineStr">
        <is>
          <t>Una vez por contacto.</t>
        </is>
      </c>
      <c r="F5" s="11" t="n">
        <v>1</v>
      </c>
      <c r="G5" s="11" t="n">
        <v>1</v>
      </c>
      <c r="H5" s="12" t="n">
        <v>1</v>
      </c>
      <c r="J5" s="13" t="n">
        <v>0</v>
      </c>
      <c r="K5" s="13" t="inlineStr">
        <is>
          <t>Exploración</t>
        </is>
      </c>
      <c r="L5" s="13" t="inlineStr">
        <is>
          <t>Contenido y nutrición suave</t>
        </is>
      </c>
    </row>
    <row r="6">
      <c r="A6" s="5" t="n">
        <v>2</v>
      </c>
      <c r="B6" s="10" t="inlineStr">
        <is>
          <t>form1</t>
        </is>
      </c>
      <c r="C6" s="10" t="inlineStr">
        <is>
          <t>Deja su correo con permiso (formulario 1)</t>
        </is>
      </c>
      <c r="D6" s="11" t="n">
        <v>20</v>
      </c>
      <c r="E6" s="10" t="inlineStr">
        <is>
          <t>Solo con correo válido y permiso.</t>
        </is>
      </c>
      <c r="F6" s="11" t="n">
        <v>1</v>
      </c>
      <c r="G6" s="11" t="n">
        <v>1</v>
      </c>
      <c r="H6" s="12" t="n">
        <v>1</v>
      </c>
      <c r="J6" s="13" t="n">
        <v>20</v>
      </c>
      <c r="K6" s="13" t="inlineStr">
        <is>
          <t>Identificado</t>
        </is>
      </c>
      <c r="L6" s="13" t="inlineStr">
        <is>
          <t>Continuidad automática</t>
        </is>
      </c>
    </row>
    <row r="7">
      <c r="A7" s="5" t="n">
        <v>3</v>
      </c>
      <c r="B7" s="10" t="inlineStr">
        <is>
          <t>portal</t>
        </is>
      </c>
      <c r="C7" s="10" t="inlineStr">
        <is>
          <t>Entra a su portal</t>
        </is>
      </c>
      <c r="D7" s="11" t="n">
        <v>8</v>
      </c>
      <c r="E7" s="10" t="inlineStr">
        <is>
          <t>Primera entrada al portal.</t>
        </is>
      </c>
      <c r="F7" s="11" t="n">
        <v>1</v>
      </c>
      <c r="G7" s="11" t="n">
        <v>1</v>
      </c>
      <c r="H7" s="12" t="n">
        <v>1</v>
      </c>
      <c r="J7" s="13" t="n">
        <v>40</v>
      </c>
      <c r="K7" s="13" t="inlineStr">
        <is>
          <t>Calificado</t>
        </is>
      </c>
      <c r="L7" s="13" t="inlineStr">
        <is>
          <t>Recomendación y seguimiento</t>
        </is>
      </c>
    </row>
    <row r="8">
      <c r="A8" s="5" t="n">
        <v>4</v>
      </c>
      <c r="B8" s="10" t="inlineStr">
        <is>
          <t>diag_inicio</t>
        </is>
      </c>
      <c r="C8" s="10" t="inlineStr">
        <is>
          <t>Inicia el diagnóstico</t>
        </is>
      </c>
      <c r="D8" s="11" t="n">
        <v>5</v>
      </c>
      <c r="E8" s="10" t="inlineStr">
        <is>
          <t>Primera respuesta.</t>
        </is>
      </c>
      <c r="F8" s="11" t="n">
        <v>1</v>
      </c>
      <c r="G8" s="11" t="n">
        <v>1</v>
      </c>
      <c r="H8" s="12" t="n">
        <v>1</v>
      </c>
      <c r="J8" s="13" t="n">
        <v>60</v>
      </c>
      <c r="K8" s="13" t="inlineStr">
        <is>
          <t>Alta intención</t>
        </is>
      </c>
      <c r="L8" s="13" t="inlineStr">
        <is>
          <t>Prioridad comercial</t>
        </is>
      </c>
    </row>
    <row r="9">
      <c r="A9" s="5" t="n">
        <v>5</v>
      </c>
      <c r="B9" s="10" t="inlineStr">
        <is>
          <t>negocio</t>
        </is>
      </c>
      <c r="C9" s="10" t="inlineStr">
        <is>
          <t>Tipo de negocio</t>
        </is>
      </c>
      <c r="D9" s="11" t="n">
        <v>4</v>
      </c>
      <c r="E9" s="10" t="inlineStr">
        <is>
          <t>Define fit HORECA.</t>
        </is>
      </c>
      <c r="F9" s="11" t="n">
        <v>1</v>
      </c>
      <c r="G9" s="11" t="n">
        <v>1</v>
      </c>
      <c r="H9" s="12" t="n">
        <v>1</v>
      </c>
      <c r="J9" s="13" t="n">
        <v>80</v>
      </c>
      <c r="K9" s="13" t="inlineStr">
        <is>
          <t>Prioridad máxima</t>
        </is>
      </c>
      <c r="L9" s="13" t="inlineStr">
        <is>
          <t>Persona del equipo ahora</t>
        </is>
      </c>
    </row>
    <row r="10">
      <c r="A10" s="5" t="n">
        <v>6</v>
      </c>
      <c r="B10" s="10" t="inlineStr">
        <is>
          <t>volumen</t>
        </is>
      </c>
      <c r="C10" s="10" t="inlineStr">
        <is>
          <t>Volumen de tazas</t>
        </is>
      </c>
      <c r="D10" s="11" t="n">
        <v>5</v>
      </c>
      <c r="E10" s="10" t="inlineStr">
        <is>
          <t>«No lo sé» cuenta.</t>
        </is>
      </c>
      <c r="F10" s="11" t="n">
        <v>1</v>
      </c>
      <c r="G10" s="11" t="n">
        <v>1</v>
      </c>
      <c r="H10" s="12" t="n">
        <v>1</v>
      </c>
    </row>
    <row r="11">
      <c r="A11" s="5" t="n">
        <v>7</v>
      </c>
      <c r="B11" s="10" t="inlineStr">
        <is>
          <t>operacion</t>
        </is>
      </c>
      <c r="C11" s="10" t="inlineStr">
        <is>
          <t>Forma de servicio</t>
        </is>
      </c>
      <c r="D11" s="11" t="n">
        <v>4</v>
      </c>
      <c r="E11" s="10" t="inlineStr">
        <is>
          <t>Define formato.</t>
        </is>
      </c>
      <c r="F11" s="11" t="n">
        <v>1</v>
      </c>
      <c r="G11" s="11" t="n">
        <v>1</v>
      </c>
      <c r="H11" s="12" t="n">
        <v>1</v>
      </c>
    </row>
    <row r="12">
      <c r="A12" s="5" t="n">
        <v>8</v>
      </c>
      <c r="B12" s="10" t="inlineStr">
        <is>
          <t>preferencias</t>
        </is>
      </c>
      <c r="C12" s="10" t="inlineStr">
        <is>
          <t>Qué quiere ofrecer</t>
        </is>
      </c>
      <c r="D12" s="11" t="n">
        <v>4</v>
      </c>
      <c r="E12" s="10" t="inlineStr">
        <is>
          <t>Una vez aunque elija varias.</t>
        </is>
      </c>
      <c r="F12" s="11" t="n">
        <v>1</v>
      </c>
      <c r="G12" s="11" t="n">
        <v>1</v>
      </c>
      <c r="H12" s="12" t="n">
        <v>1</v>
      </c>
    </row>
    <row r="13">
      <c r="A13" s="5" t="n">
        <v>9</v>
      </c>
      <c r="B13" s="10" t="inlineStr">
        <is>
          <t>canal</t>
        </is>
      </c>
      <c r="C13" s="10" t="inlineStr">
        <is>
          <t>Confirma correo de contacto</t>
        </is>
      </c>
      <c r="D13" s="11" t="n">
        <v>3</v>
      </c>
      <c r="E13" s="10" t="inlineStr">
        <is>
          <t>Correo para seguimiento comercial.</t>
        </is>
      </c>
      <c r="F13" s="11" t="n">
        <v>1</v>
      </c>
      <c r="G13" s="11" t="n">
        <v>1</v>
      </c>
      <c r="H13" s="12" t="n">
        <v>1</v>
      </c>
    </row>
    <row r="14">
      <c r="A14" s="5" t="n">
        <v>10</v>
      </c>
      <c r="B14" s="10" t="inlineStr">
        <is>
          <t>recomendacion</t>
        </is>
      </c>
      <c r="C14" s="10" t="inlineStr">
        <is>
          <t>Revisa su recomendación</t>
        </is>
      </c>
      <c r="D14" s="11" t="n">
        <v>8</v>
      </c>
      <c r="E14" s="10" t="inlineStr">
        <is>
          <t>Portal con diagnóstico completo.</t>
        </is>
      </c>
      <c r="F14" s="11" t="n">
        <v>1</v>
      </c>
      <c r="G14" s="11" t="n">
        <v>1</v>
      </c>
      <c r="H14" s="12" t="n">
        <v>1</v>
      </c>
    </row>
    <row r="15">
      <c r="A15" s="5" t="n">
        <v>11</v>
      </c>
      <c r="B15" s="10" t="inlineStr">
        <is>
          <t>propuesta</t>
        </is>
      </c>
      <c r="C15" s="10" t="inlineStr">
        <is>
          <t>Acepta la propuesta</t>
        </is>
      </c>
      <c r="D15" s="11" t="n">
        <v>15</v>
      </c>
      <c r="E15" s="10" t="inlineStr">
        <is>
          <t>Señal comercial para SQL.</t>
        </is>
      </c>
      <c r="F15" s="11" t="n">
        <v>0</v>
      </c>
      <c r="G15" s="11" t="n">
        <v>0</v>
      </c>
      <c r="H15" s="12" t="n">
        <v>0</v>
      </c>
    </row>
    <row r="16">
      <c r="A16" s="5" t="n">
        <v>12</v>
      </c>
      <c r="B16" s="10" t="inlineStr">
        <is>
          <t>ejecutivo</t>
        </is>
      </c>
      <c r="C16" s="10" t="inlineStr">
        <is>
          <t>Pide hablar con una persona</t>
        </is>
      </c>
      <c r="D16" s="11" t="n">
        <v>12</v>
      </c>
      <c r="E16" s="10" t="inlineStr">
        <is>
          <t>Al elegir cualquier canal humano.</t>
        </is>
      </c>
      <c r="F16" s="11" t="n">
        <v>1</v>
      </c>
      <c r="G16" s="11" t="n">
        <v>1</v>
      </c>
      <c r="H16" s="12" t="n">
        <v>1</v>
      </c>
    </row>
    <row r="17">
      <c r="A17" s="5" t="n">
        <v>13</v>
      </c>
      <c r="B17" s="10" t="inlineStr">
        <is>
          <t>expansion</t>
        </is>
      </c>
      <c r="C17" s="10" t="inlineStr">
        <is>
          <t>Elige la propuesta ampliada</t>
        </is>
      </c>
      <c r="D17" s="11" t="n">
        <v>12</v>
      </c>
      <c r="E17" s="10" t="inlineStr">
        <is>
          <t>Elige ampliada.</t>
        </is>
      </c>
      <c r="F17" s="11" t="n">
        <v>0</v>
      </c>
      <c r="G17" s="11" t="n">
        <v>0</v>
      </c>
      <c r="H17" s="12" t="n">
        <v>0</v>
      </c>
    </row>
    <row r="18">
      <c r="A18" s="7" t="n">
        <v>14</v>
      </c>
      <c r="B18" s="14" t="inlineStr">
        <is>
          <t>comuna</t>
        </is>
      </c>
      <c r="C18" s="14" t="inlineStr">
        <is>
          <t>Comuna del local (evento 14)</t>
        </is>
      </c>
      <c r="D18" s="14" t="inlineStr">
        <is>
          <t>según zona</t>
        </is>
      </c>
      <c r="E18" s="14" t="inlineStr">
        <is>
          <t>Puntos desde 02_ZONAS.</t>
        </is>
      </c>
      <c r="F18" s="15" t="inlineStr">
        <is>
          <t>Las Condes</t>
        </is>
      </c>
      <c r="G18" s="15" t="inlineStr">
        <is>
          <t>Santiago Centro</t>
        </is>
      </c>
      <c r="H18" s="16" t="inlineStr">
        <is>
          <t>Maipú</t>
        </is>
      </c>
    </row>
    <row r="19"/>
    <row r="20">
      <c r="A20" s="17" t="n"/>
      <c r="B20" s="17" t="n"/>
      <c r="C20" s="17" t="inlineStr">
        <is>
          <t>Suma eventos M2</t>
        </is>
      </c>
      <c r="D20" s="17" t="n"/>
      <c r="E20" s="17" t="n"/>
      <c r="F20" s="18">
        <f>SUMPRODUCT($D$5:$D$17,F5:F17)</f>
        <v/>
      </c>
      <c r="G20" s="18">
        <f>SUMPRODUCT($D$5:$D$17,G5:G17)</f>
        <v/>
      </c>
      <c r="H20" s="18">
        <f>SUMPRODUCT($D$5:$D$17,H5:H17)</f>
        <v/>
      </c>
    </row>
    <row r="21">
      <c r="A21" s="17" t="n"/>
      <c r="B21" s="17" t="n"/>
      <c r="C21" s="17" t="inlineStr">
        <is>
          <t>Puntos por comuna</t>
        </is>
      </c>
      <c r="D21" s="17" t="n"/>
      <c r="E21" s="17" t="n"/>
      <c r="F21" s="18">
        <f>VLOOKUP(F18,'02_ZONAS'!$A$5:$D$31,4,FALSE)</f>
        <v/>
      </c>
      <c r="G21" s="18">
        <f>VLOOKUP(G18,'02_ZONAS'!$A$5:$D$31,4,FALSE)</f>
        <v/>
      </c>
      <c r="H21" s="18">
        <f>VLOOKUP(H18,'02_ZONAS'!$A$5:$D$31,4,FALSE)</f>
        <v/>
      </c>
    </row>
    <row r="22">
      <c r="A22" s="17" t="n"/>
      <c r="B22" s="17" t="n"/>
      <c r="C22" s="17" t="inlineStr">
        <is>
          <t>Puntaje (tope 100)</t>
        </is>
      </c>
      <c r="D22" s="17" t="n"/>
      <c r="E22" s="17" t="n"/>
      <c r="F22" s="18">
        <f>MIN(100,F20+F21)</f>
        <v/>
      </c>
      <c r="G22" s="18">
        <f>MIN(100,G20+G21)</f>
        <v/>
      </c>
      <c r="H22" s="18">
        <f>MIN(100,H20+H21)</f>
        <v/>
      </c>
    </row>
    <row r="23">
      <c r="A23" s="17" t="n"/>
      <c r="B23" s="17" t="n"/>
      <c r="C23" s="17" t="inlineStr">
        <is>
          <t>Banda</t>
        </is>
      </c>
      <c r="D23" s="17" t="n"/>
      <c r="E23" s="17" t="n"/>
      <c r="F23" s="18">
        <f>VLOOKUP(F22,$J$5:$K$9,2,TRUE)</f>
        <v/>
      </c>
      <c r="G23" s="18">
        <f>VLOOKUP(G22,$J$5:$K$9,2,TRUE)</f>
        <v/>
      </c>
      <c r="H23" s="18">
        <f>VLOOKUP(H22,$J$5:$K$9,2,TRUE)</f>
        <v/>
      </c>
    </row>
    <row r="24">
      <c r="A24" s="17" t="n"/>
      <c r="B24" s="17" t="n"/>
      <c r="C24" s="17" t="inlineStr">
        <is>
          <t>Negocio HORECA (Sí/No)</t>
        </is>
      </c>
      <c r="D24" s="17" t="n"/>
      <c r="E24" s="17" t="n"/>
      <c r="F24" s="19" t="inlineStr">
        <is>
          <t>Sí</t>
        </is>
      </c>
      <c r="G24" s="19" t="inlineStr">
        <is>
          <t>Sí</t>
        </is>
      </c>
      <c r="H24" s="19" t="inlineStr">
        <is>
          <t>Sí</t>
        </is>
      </c>
    </row>
    <row r="25">
      <c r="A25" s="17" t="n"/>
      <c r="B25" s="17" t="n"/>
      <c r="C25" s="17" t="inlineStr">
        <is>
          <t>¿MQL? (permiso + HORECA + ≥ 40)</t>
        </is>
      </c>
      <c r="D25" s="17" t="n"/>
      <c r="E25" s="17" t="n"/>
      <c r="F25" s="18">
        <f>IF(AND(F6=1,F24="Sí",F22&gt;=40),"Sí","No")</f>
        <v/>
      </c>
      <c r="G25" s="18">
        <f>IF(AND(G6=1,G24="Sí",G22&gt;=40),"Sí","No")</f>
        <v/>
      </c>
      <c r="H25" s="18">
        <f>IF(AND(H6=1,H24="Sí",H22&gt;=40),"Sí","No")</f>
        <v/>
      </c>
    </row>
    <row r="26">
      <c r="A26" s="17" t="n"/>
      <c r="B26" s="17" t="n"/>
      <c r="C26" s="17" t="inlineStr">
        <is>
          <t>¿Candidato a SQL? (MQL + pidió persona o propuesta)</t>
        </is>
      </c>
      <c r="D26" s="17" t="n"/>
      <c r="E26" s="17" t="n"/>
      <c r="F26" s="18">
        <f>IF(AND(F25="Sí",OR(F16=1,F15=1)),"Sí, lo acepta una persona","No")</f>
        <v/>
      </c>
      <c r="G26" s="18">
        <f>IF(AND(G25="Sí",OR(G16=1,G15=1)),"Sí, lo acepta una persona","No")</f>
        <v/>
      </c>
      <c r="H26" s="18">
        <f>IF(AND(H25="Sí",OR(H16=1,H15=1)),"Sí, lo acepta una persona","No")</f>
        <v/>
      </c>
    </row>
    <row r="27"/>
    <row r="28">
      <c r="C28" s="20" t="inlineStr">
        <is>
          <t>Lectura: con el mismo recorrido, el puntaje cambia solo por la comuna (A +10, B +6, C +3). Verificado en el prototipo el 10-10: 93, 89 y 86.</t>
        </is>
      </c>
    </row>
  </sheetData>
  <mergeCells count="1">
    <mergeCell ref="A2:H2"/>
  </mergeCells>
  <dataValidations count="1">
    <dataValidation sqref="F18 G18 H18" showDropDown="0" showInputMessage="0" showErrorMessage="0" allowBlank="0" type="list">
      <formula1>='02_ZONAS'!$A$5:$A$31</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F7BE00"/>
    <outlinePr summaryBelow="1" summaryRight="1"/>
    <pageSetUpPr fitToPage="1"/>
  </sheetPr>
  <dimension ref="A1:M31"/>
  <sheetViews>
    <sheetView showGridLines="0" zoomScale="90" workbookViewId="0">
      <pane ySplit="4" topLeftCell="A5" activePane="bottomLeft" state="frozen"/>
      <selection pane="bottomLeft" activeCell="A1" sqref="A1"/>
    </sheetView>
  </sheetViews>
  <sheetFormatPr baseColWidth="8" defaultRowHeight="15"/>
  <cols>
    <col width="22" customWidth="1" min="1" max="1"/>
    <col width="22" customWidth="1" min="2" max="2"/>
    <col width="11" customWidth="1" min="3" max="3"/>
    <col width="12" customWidth="1" min="4" max="4"/>
    <col width="14" customWidth="1" min="5" max="5"/>
    <col width="30" customWidth="1" min="6" max="6"/>
    <col width="34" customWidth="1" min="7" max="7"/>
    <col width="11" customWidth="1" min="10" max="10"/>
    <col width="9" customWidth="1" min="11" max="11"/>
    <col width="11" customWidth="1" min="12" max="12"/>
    <col width="70" customWidth="1" min="13" max="13"/>
  </cols>
  <sheetData>
    <row r="1" ht="28" customHeight="1">
      <c r="A1" s="1" t="inlineStr">
        <is>
          <t>Prioridad geográfica por comuna</t>
        </is>
      </c>
      <c r="B1" s="2" t="n"/>
      <c r="C1" s="2" t="n"/>
      <c r="D1" s="2" t="n"/>
      <c r="E1" s="2" t="n"/>
      <c r="F1" s="2" t="n"/>
      <c r="G1" s="2" t="n"/>
    </row>
    <row r="2" ht="16" customHeight="1">
      <c r="A2" s="3" t="inlineStr">
        <is>
          <t>Hipótesis del equipo a calibrar con ventas reales por comuna. Ejecutivas con nombres ficticios. Rutas de demostración.</t>
        </is>
      </c>
    </row>
    <row r="3"/>
    <row r="4" ht="30" customHeight="1">
      <c r="A4" s="4" t="inlineStr">
        <is>
          <t>Comuna</t>
        </is>
      </c>
      <c r="B4" s="4" t="inlineStr">
        <is>
          <t>Zona</t>
        </is>
      </c>
      <c r="C4" s="4" t="inlineStr">
        <is>
          <t>Prioridad</t>
        </is>
      </c>
      <c r="D4" s="4" t="inlineStr">
        <is>
          <t>Puntos Engagement</t>
        </is>
      </c>
      <c r="E4" s="4" t="inlineStr">
        <is>
          <t>Potencial Financial (0–100)</t>
        </is>
      </c>
      <c r="F4" s="4" t="inlineStr">
        <is>
          <t>Ejecutiva de zona (ficticia)</t>
        </is>
      </c>
      <c r="G4" s="4" t="inlineStr">
        <is>
          <t>Ruta (demo)</t>
        </is>
      </c>
      <c r="J4" s="9" t="inlineStr">
        <is>
          <t>Prioridad</t>
        </is>
      </c>
      <c r="K4" s="9" t="inlineStr">
        <is>
          <t>Puntos</t>
        </is>
      </c>
      <c r="L4" s="9" t="inlineStr">
        <is>
          <t>Potencial</t>
        </is>
      </c>
      <c r="M4" s="9" t="inlineStr">
        <is>
          <t>Hipótesis</t>
        </is>
      </c>
    </row>
    <row r="5">
      <c r="A5" s="5" t="inlineStr">
        <is>
          <t>Quilicura</t>
        </is>
      </c>
      <c r="B5" s="10" t="inlineStr">
        <is>
          <t>Zona Norte y Poniente</t>
        </is>
      </c>
      <c r="C5" s="11" t="inlineStr">
        <is>
          <t>C</t>
        </is>
      </c>
      <c r="D5" s="21">
        <f>VLOOKUP(C5,$J$5:$L$8,2,FALSE)</f>
        <v/>
      </c>
      <c r="E5" s="21">
        <f>VLOOKUP(C5,$J$5:$L$8,3,FALSE)</f>
        <v/>
      </c>
      <c r="F5" s="10" t="inlineStr">
        <is>
          <t>Camila Soto · Ejecutiva Zona Norte y Poniente</t>
        </is>
      </c>
      <c r="G5" s="6" t="inlineStr">
        <is>
          <t>Ruta Norte · martes y viernes</t>
        </is>
      </c>
      <c r="J5" s="10" t="inlineStr">
        <is>
          <t>A</t>
        </is>
      </c>
      <c r="K5" s="11" t="n">
        <v>10</v>
      </c>
      <c r="L5" s="11" t="n">
        <v>100</v>
      </c>
      <c r="M5" s="10" t="inlineStr">
        <is>
          <t>Alta densidad de hoteles y restaurantes de ticket alto; ruta de reparto existente.</t>
        </is>
      </c>
    </row>
    <row r="6">
      <c r="A6" s="5" t="inlineStr">
        <is>
          <t>Huechuraba</t>
        </is>
      </c>
      <c r="B6" s="10" t="inlineStr">
        <is>
          <t>Zona Norte y Poniente</t>
        </is>
      </c>
      <c r="C6" s="11" t="inlineStr">
        <is>
          <t>B</t>
        </is>
      </c>
      <c r="D6" s="21">
        <f>VLOOKUP(C6,$J$5:$L$8,2,FALSE)</f>
        <v/>
      </c>
      <c r="E6" s="21">
        <f>VLOOKUP(C6,$J$5:$L$8,3,FALSE)</f>
        <v/>
      </c>
      <c r="F6" s="10" t="inlineStr">
        <is>
          <t>Camila Soto · Ejecutiva Zona Norte y Poniente</t>
        </is>
      </c>
      <c r="G6" s="6" t="inlineStr">
        <is>
          <t>Ruta Norte · martes y viernes</t>
        </is>
      </c>
      <c r="J6" s="10" t="inlineStr">
        <is>
          <t>B</t>
        </is>
      </c>
      <c r="K6" s="11" t="n">
        <v>6</v>
      </c>
      <c r="L6" s="11" t="n">
        <v>70</v>
      </c>
      <c r="M6" s="10" t="inlineStr">
        <is>
          <t>Alto volumen (hoteles de negocio, restaurantes, aeropuerto) con ticket medio.</t>
        </is>
      </c>
    </row>
    <row r="7">
      <c r="A7" s="5" t="inlineStr">
        <is>
          <t>Vitacura</t>
        </is>
      </c>
      <c r="B7" s="10" t="inlineStr">
        <is>
          <t>Zona Oriente</t>
        </is>
      </c>
      <c r="C7" s="11" t="inlineStr">
        <is>
          <t>A</t>
        </is>
      </c>
      <c r="D7" s="21">
        <f>VLOOKUP(C7,$J$5:$L$8,2,FALSE)</f>
        <v/>
      </c>
      <c r="E7" s="21">
        <f>VLOOKUP(C7,$J$5:$L$8,3,FALSE)</f>
        <v/>
      </c>
      <c r="F7" s="10" t="inlineStr">
        <is>
          <t>Paula Díaz · Ejecutiva Zona Oriente</t>
        </is>
      </c>
      <c r="G7" s="6" t="inlineStr">
        <is>
          <t>Ruta Oriente · martes y jueves</t>
        </is>
      </c>
      <c r="J7" s="10" t="inlineStr">
        <is>
          <t>C</t>
        </is>
      </c>
      <c r="K7" s="11" t="n">
        <v>3</v>
      </c>
      <c r="L7" s="11" t="n">
        <v>40</v>
      </c>
      <c r="M7" s="10" t="inlineStr">
        <is>
          <t>Cobertura con menor frecuencia de ruta.</t>
        </is>
      </c>
    </row>
    <row r="8">
      <c r="A8" s="5" t="inlineStr">
        <is>
          <t>Lo Barnechea</t>
        </is>
      </c>
      <c r="B8" s="10" t="inlineStr">
        <is>
          <t>Zona Oriente</t>
        </is>
      </c>
      <c r="C8" s="11" t="inlineStr">
        <is>
          <t>A</t>
        </is>
      </c>
      <c r="D8" s="21">
        <f>VLOOKUP(C8,$J$5:$L$8,2,FALSE)</f>
        <v/>
      </c>
      <c r="E8" s="21">
        <f>VLOOKUP(C8,$J$5:$L$8,3,FALSE)</f>
        <v/>
      </c>
      <c r="F8" s="10" t="inlineStr">
        <is>
          <t>Paula Díaz · Ejecutiva Zona Oriente</t>
        </is>
      </c>
      <c r="G8" s="6" t="inlineStr">
        <is>
          <t>Ruta Oriente · martes y jueves</t>
        </is>
      </c>
      <c r="J8" s="10" t="inlineStr">
        <is>
          <t>R</t>
        </is>
      </c>
      <c r="K8" s="11" t="n">
        <v>2</v>
      </c>
      <c r="L8" s="11" t="n">
        <v>30</v>
      </c>
      <c r="M8" s="10" t="inlineStr">
        <is>
          <t>Cobertura por confirmar (distribuidor o despacho).</t>
        </is>
      </c>
    </row>
    <row r="9">
      <c r="A9" s="5" t="inlineStr">
        <is>
          <t>Pudahuel</t>
        </is>
      </c>
      <c r="B9" s="10" t="inlineStr">
        <is>
          <t>Zona Norte y Poniente</t>
        </is>
      </c>
      <c r="C9" s="11" t="inlineStr">
        <is>
          <t>B</t>
        </is>
      </c>
      <c r="D9" s="21">
        <f>VLOOKUP(C9,$J$5:$L$8,2,FALSE)</f>
        <v/>
      </c>
      <c r="E9" s="21">
        <f>VLOOKUP(C9,$J$5:$L$8,3,FALSE)</f>
        <v/>
      </c>
      <c r="F9" s="10" t="inlineStr">
        <is>
          <t>Camila Soto · Ejecutiva Zona Norte y Poniente</t>
        </is>
      </c>
      <c r="G9" s="6" t="inlineStr">
        <is>
          <t>Ruta Norte · martes y viernes</t>
        </is>
      </c>
    </row>
    <row r="10">
      <c r="A10" s="5" t="inlineStr">
        <is>
          <t>Renca</t>
        </is>
      </c>
      <c r="B10" s="10" t="inlineStr">
        <is>
          <t>Zona Norte y Poniente</t>
        </is>
      </c>
      <c r="C10" s="11" t="inlineStr">
        <is>
          <t>C</t>
        </is>
      </c>
      <c r="D10" s="21">
        <f>VLOOKUP(C10,$J$5:$L$8,2,FALSE)</f>
        <v/>
      </c>
      <c r="E10" s="21">
        <f>VLOOKUP(C10,$J$5:$L$8,3,FALSE)</f>
        <v/>
      </c>
      <c r="F10" s="10" t="inlineStr">
        <is>
          <t>Camila Soto · Ejecutiva Zona Norte y Poniente</t>
        </is>
      </c>
      <c r="G10" s="6" t="inlineStr">
        <is>
          <t>Ruta Norte · martes y viernes</t>
        </is>
      </c>
    </row>
    <row r="11">
      <c r="A11" s="5" t="inlineStr">
        <is>
          <t>Independencia</t>
        </is>
      </c>
      <c r="B11" s="10" t="inlineStr">
        <is>
          <t>Zona Centro</t>
        </is>
      </c>
      <c r="C11" s="11" t="inlineStr">
        <is>
          <t>C</t>
        </is>
      </c>
      <c r="D11" s="21">
        <f>VLOOKUP(C11,$J$5:$L$8,2,FALSE)</f>
        <v/>
      </c>
      <c r="E11" s="21">
        <f>VLOOKUP(C11,$J$5:$L$8,3,FALSE)</f>
        <v/>
      </c>
      <c r="F11" s="10" t="inlineStr">
        <is>
          <t>Andrés Rojas · Ejecutivo Zona Centro</t>
        </is>
      </c>
      <c r="G11" s="6" t="inlineStr">
        <is>
          <t>Ruta Centro · lunes, miércoles y viernes</t>
        </is>
      </c>
    </row>
    <row r="12">
      <c r="A12" s="5" t="inlineStr">
        <is>
          <t>Recoleta</t>
        </is>
      </c>
      <c r="B12" s="10" t="inlineStr">
        <is>
          <t>Zona Centro</t>
        </is>
      </c>
      <c r="C12" s="11" t="inlineStr">
        <is>
          <t>C</t>
        </is>
      </c>
      <c r="D12" s="21">
        <f>VLOOKUP(C12,$J$5:$L$8,2,FALSE)</f>
        <v/>
      </c>
      <c r="E12" s="21">
        <f>VLOOKUP(C12,$J$5:$L$8,3,FALSE)</f>
        <v/>
      </c>
      <c r="F12" s="10" t="inlineStr">
        <is>
          <t>Andrés Rojas · Ejecutivo Zona Centro</t>
        </is>
      </c>
      <c r="G12" s="6" t="inlineStr">
        <is>
          <t>Ruta Centro · lunes, miércoles y viernes</t>
        </is>
      </c>
    </row>
    <row r="13">
      <c r="A13" s="5" t="inlineStr">
        <is>
          <t>Providencia</t>
        </is>
      </c>
      <c r="B13" s="10" t="inlineStr">
        <is>
          <t>Zona Oriente</t>
        </is>
      </c>
      <c r="C13" s="11" t="inlineStr">
        <is>
          <t>A</t>
        </is>
      </c>
      <c r="D13" s="21">
        <f>VLOOKUP(C13,$J$5:$L$8,2,FALSE)</f>
        <v/>
      </c>
      <c r="E13" s="21">
        <f>VLOOKUP(C13,$J$5:$L$8,3,FALSE)</f>
        <v/>
      </c>
      <c r="F13" s="10" t="inlineStr">
        <is>
          <t>Paula Díaz · Ejecutiva Zona Oriente</t>
        </is>
      </c>
      <c r="G13" s="6" t="inlineStr">
        <is>
          <t>Ruta Oriente · martes y jueves</t>
        </is>
      </c>
    </row>
    <row r="14">
      <c r="A14" s="5" t="inlineStr">
        <is>
          <t>Las Condes</t>
        </is>
      </c>
      <c r="B14" s="10" t="inlineStr">
        <is>
          <t>Zona Oriente</t>
        </is>
      </c>
      <c r="C14" s="11" t="inlineStr">
        <is>
          <t>A</t>
        </is>
      </c>
      <c r="D14" s="21">
        <f>VLOOKUP(C14,$J$5:$L$8,2,FALSE)</f>
        <v/>
      </c>
      <c r="E14" s="21">
        <f>VLOOKUP(C14,$J$5:$L$8,3,FALSE)</f>
        <v/>
      </c>
      <c r="F14" s="10" t="inlineStr">
        <is>
          <t>Paula Díaz · Ejecutiva Zona Oriente</t>
        </is>
      </c>
      <c r="G14" s="6" t="inlineStr">
        <is>
          <t>Ruta Oriente · martes y jueves</t>
        </is>
      </c>
    </row>
    <row r="15">
      <c r="A15" s="5" t="inlineStr">
        <is>
          <t>Lo Prado</t>
        </is>
      </c>
      <c r="B15" s="10" t="inlineStr">
        <is>
          <t>Zona Norte y Poniente</t>
        </is>
      </c>
      <c r="C15" s="11" t="inlineStr">
        <is>
          <t>C</t>
        </is>
      </c>
      <c r="D15" s="21">
        <f>VLOOKUP(C15,$J$5:$L$8,2,FALSE)</f>
        <v/>
      </c>
      <c r="E15" s="21">
        <f>VLOOKUP(C15,$J$5:$L$8,3,FALSE)</f>
        <v/>
      </c>
      <c r="F15" s="10" t="inlineStr">
        <is>
          <t>Camila Soto · Ejecutiva Zona Norte y Poniente</t>
        </is>
      </c>
      <c r="G15" s="6" t="inlineStr">
        <is>
          <t>Ruta Norte · martes y viernes</t>
        </is>
      </c>
    </row>
    <row r="16">
      <c r="A16" s="5" t="inlineStr">
        <is>
          <t>Quinta Normal</t>
        </is>
      </c>
      <c r="B16" s="10" t="inlineStr">
        <is>
          <t>Zona Centro</t>
        </is>
      </c>
      <c r="C16" s="11" t="inlineStr">
        <is>
          <t>C</t>
        </is>
      </c>
      <c r="D16" s="21">
        <f>VLOOKUP(C16,$J$5:$L$8,2,FALSE)</f>
        <v/>
      </c>
      <c r="E16" s="21">
        <f>VLOOKUP(C16,$J$5:$L$8,3,FALSE)</f>
        <v/>
      </c>
      <c r="F16" s="10" t="inlineStr">
        <is>
          <t>Andrés Rojas · Ejecutivo Zona Centro</t>
        </is>
      </c>
      <c r="G16" s="6" t="inlineStr">
        <is>
          <t>Ruta Centro · lunes, miércoles y viernes</t>
        </is>
      </c>
    </row>
    <row r="17">
      <c r="A17" s="5" t="inlineStr">
        <is>
          <t>Estación Central</t>
        </is>
      </c>
      <c r="B17" s="10" t="inlineStr">
        <is>
          <t>Zona Centro</t>
        </is>
      </c>
      <c r="C17" s="11" t="inlineStr">
        <is>
          <t>C</t>
        </is>
      </c>
      <c r="D17" s="21">
        <f>VLOOKUP(C17,$J$5:$L$8,2,FALSE)</f>
        <v/>
      </c>
      <c r="E17" s="21">
        <f>VLOOKUP(C17,$J$5:$L$8,3,FALSE)</f>
        <v/>
      </c>
      <c r="F17" s="10" t="inlineStr">
        <is>
          <t>Andrés Rojas · Ejecutivo Zona Centro</t>
        </is>
      </c>
      <c r="G17" s="6" t="inlineStr">
        <is>
          <t>Ruta Centro · lunes, miércoles y viernes</t>
        </is>
      </c>
    </row>
    <row r="18">
      <c r="A18" s="5" t="inlineStr">
        <is>
          <t>Santiago Centro</t>
        </is>
      </c>
      <c r="B18" s="10" t="inlineStr">
        <is>
          <t>Zona Centro</t>
        </is>
      </c>
      <c r="C18" s="11" t="inlineStr">
        <is>
          <t>B</t>
        </is>
      </c>
      <c r="D18" s="21">
        <f>VLOOKUP(C18,$J$5:$L$8,2,FALSE)</f>
        <v/>
      </c>
      <c r="E18" s="21">
        <f>VLOOKUP(C18,$J$5:$L$8,3,FALSE)</f>
        <v/>
      </c>
      <c r="F18" s="10" t="inlineStr">
        <is>
          <t>Andrés Rojas · Ejecutivo Zona Centro</t>
        </is>
      </c>
      <c r="G18" s="6" t="inlineStr">
        <is>
          <t>Ruta Centro · lunes, miércoles y viernes</t>
        </is>
      </c>
    </row>
    <row r="19">
      <c r="A19" s="5" t="inlineStr">
        <is>
          <t>Ñuñoa</t>
        </is>
      </c>
      <c r="B19" s="10" t="inlineStr">
        <is>
          <t>Zona Oriente</t>
        </is>
      </c>
      <c r="C19" s="11" t="inlineStr">
        <is>
          <t>B</t>
        </is>
      </c>
      <c r="D19" s="21">
        <f>VLOOKUP(C19,$J$5:$L$8,2,FALSE)</f>
        <v/>
      </c>
      <c r="E19" s="21">
        <f>VLOOKUP(C19,$J$5:$L$8,3,FALSE)</f>
        <v/>
      </c>
      <c r="F19" s="10" t="inlineStr">
        <is>
          <t>Paula Díaz · Ejecutiva Zona Oriente</t>
        </is>
      </c>
      <c r="G19" s="6" t="inlineStr">
        <is>
          <t>Ruta Oriente · martes y jueves</t>
        </is>
      </c>
    </row>
    <row r="20">
      <c r="A20" s="5" t="inlineStr">
        <is>
          <t>La Reina</t>
        </is>
      </c>
      <c r="B20" s="10" t="inlineStr">
        <is>
          <t>Zona Oriente</t>
        </is>
      </c>
      <c r="C20" s="11" t="inlineStr">
        <is>
          <t>B</t>
        </is>
      </c>
      <c r="D20" s="21">
        <f>VLOOKUP(C20,$J$5:$L$8,2,FALSE)</f>
        <v/>
      </c>
      <c r="E20" s="21">
        <f>VLOOKUP(C20,$J$5:$L$8,3,FALSE)</f>
        <v/>
      </c>
      <c r="F20" s="10" t="inlineStr">
        <is>
          <t>Paula Díaz · Ejecutiva Zona Oriente</t>
        </is>
      </c>
      <c r="G20" s="6" t="inlineStr">
        <is>
          <t>Ruta Oriente · martes y jueves</t>
        </is>
      </c>
    </row>
    <row r="21">
      <c r="A21" s="5" t="inlineStr">
        <is>
          <t>Maipú</t>
        </is>
      </c>
      <c r="B21" s="10" t="inlineStr">
        <is>
          <t>Zona Norte y Poniente</t>
        </is>
      </c>
      <c r="C21" s="11" t="inlineStr">
        <is>
          <t>C</t>
        </is>
      </c>
      <c r="D21" s="21">
        <f>VLOOKUP(C21,$J$5:$L$8,2,FALSE)</f>
        <v/>
      </c>
      <c r="E21" s="21">
        <f>VLOOKUP(C21,$J$5:$L$8,3,FALSE)</f>
        <v/>
      </c>
      <c r="F21" s="10" t="inlineStr">
        <is>
          <t>Camila Soto · Ejecutiva Zona Norte y Poniente</t>
        </is>
      </c>
      <c r="G21" s="6" t="inlineStr">
        <is>
          <t>Ruta Norte · martes y viernes</t>
        </is>
      </c>
    </row>
    <row r="22">
      <c r="A22" s="5" t="inlineStr">
        <is>
          <t>Cerrillos</t>
        </is>
      </c>
      <c r="B22" s="10" t="inlineStr">
        <is>
          <t>Zona Norte y Poniente</t>
        </is>
      </c>
      <c r="C22" s="11" t="inlineStr">
        <is>
          <t>C</t>
        </is>
      </c>
      <c r="D22" s="21">
        <f>VLOOKUP(C22,$J$5:$L$8,2,FALSE)</f>
        <v/>
      </c>
      <c r="E22" s="21">
        <f>VLOOKUP(C22,$J$5:$L$8,3,FALSE)</f>
        <v/>
      </c>
      <c r="F22" s="10" t="inlineStr">
        <is>
          <t>Camila Soto · Ejecutiva Zona Norte y Poniente</t>
        </is>
      </c>
      <c r="G22" s="6" t="inlineStr">
        <is>
          <t>Ruta Norte · martes y viernes</t>
        </is>
      </c>
    </row>
    <row r="23">
      <c r="A23" s="5" t="inlineStr">
        <is>
          <t>San Miguel</t>
        </is>
      </c>
      <c r="B23" s="10" t="inlineStr">
        <is>
          <t>Zona Centro</t>
        </is>
      </c>
      <c r="C23" s="11" t="inlineStr">
        <is>
          <t>C</t>
        </is>
      </c>
      <c r="D23" s="21">
        <f>VLOOKUP(C23,$J$5:$L$8,2,FALSE)</f>
        <v/>
      </c>
      <c r="E23" s="21">
        <f>VLOOKUP(C23,$J$5:$L$8,3,FALSE)</f>
        <v/>
      </c>
      <c r="F23" s="10" t="inlineStr">
        <is>
          <t>Andrés Rojas · Ejecutivo Zona Centro</t>
        </is>
      </c>
      <c r="G23" s="6" t="inlineStr">
        <is>
          <t>Ruta Centro · lunes, miércoles y viernes</t>
        </is>
      </c>
    </row>
    <row r="24">
      <c r="A24" s="5" t="inlineStr">
        <is>
          <t>Macul</t>
        </is>
      </c>
      <c r="B24" s="10" t="inlineStr">
        <is>
          <t>Zona Sur</t>
        </is>
      </c>
      <c r="C24" s="11" t="inlineStr">
        <is>
          <t>C</t>
        </is>
      </c>
      <c r="D24" s="21">
        <f>VLOOKUP(C24,$J$5:$L$8,2,FALSE)</f>
        <v/>
      </c>
      <c r="E24" s="21">
        <f>VLOOKUP(C24,$J$5:$L$8,3,FALSE)</f>
        <v/>
      </c>
      <c r="F24" s="10" t="inlineStr">
        <is>
          <t>Diego Fuentes · Ejecutivo Zona Sur</t>
        </is>
      </c>
      <c r="G24" s="6" t="inlineStr">
        <is>
          <t>Ruta Sur · lunes y jueves</t>
        </is>
      </c>
    </row>
    <row r="25">
      <c r="A25" s="5" t="inlineStr">
        <is>
          <t>Peñalolén</t>
        </is>
      </c>
      <c r="B25" s="10" t="inlineStr">
        <is>
          <t>Zona Sur</t>
        </is>
      </c>
      <c r="C25" s="11" t="inlineStr">
        <is>
          <t>C</t>
        </is>
      </c>
      <c r="D25" s="21">
        <f>VLOOKUP(C25,$J$5:$L$8,2,FALSE)</f>
        <v/>
      </c>
      <c r="E25" s="21">
        <f>VLOOKUP(C25,$J$5:$L$8,3,FALSE)</f>
        <v/>
      </c>
      <c r="F25" s="10" t="inlineStr">
        <is>
          <t>Diego Fuentes · Ejecutivo Zona Sur</t>
        </is>
      </c>
      <c r="G25" s="6" t="inlineStr">
        <is>
          <t>Ruta Sur · lunes y jueves</t>
        </is>
      </c>
    </row>
    <row r="26">
      <c r="A26" s="5" t="inlineStr">
        <is>
          <t>La Cisterna</t>
        </is>
      </c>
      <c r="B26" s="10" t="inlineStr">
        <is>
          <t>Zona Sur</t>
        </is>
      </c>
      <c r="C26" s="11" t="inlineStr">
        <is>
          <t>C</t>
        </is>
      </c>
      <c r="D26" s="21">
        <f>VLOOKUP(C26,$J$5:$L$8,2,FALSE)</f>
        <v/>
      </c>
      <c r="E26" s="21">
        <f>VLOOKUP(C26,$J$5:$L$8,3,FALSE)</f>
        <v/>
      </c>
      <c r="F26" s="10" t="inlineStr">
        <is>
          <t>Diego Fuentes · Ejecutivo Zona Sur</t>
        </is>
      </c>
      <c r="G26" s="6" t="inlineStr">
        <is>
          <t>Ruta Sur · lunes y jueves</t>
        </is>
      </c>
    </row>
    <row r="27">
      <c r="A27" s="5" t="inlineStr">
        <is>
          <t>La Florida</t>
        </is>
      </c>
      <c r="B27" s="10" t="inlineStr">
        <is>
          <t>Zona Sur</t>
        </is>
      </c>
      <c r="C27" s="11" t="inlineStr">
        <is>
          <t>C</t>
        </is>
      </c>
      <c r="D27" s="21">
        <f>VLOOKUP(C27,$J$5:$L$8,2,FALSE)</f>
        <v/>
      </c>
      <c r="E27" s="21">
        <f>VLOOKUP(C27,$J$5:$L$8,3,FALSE)</f>
        <v/>
      </c>
      <c r="F27" s="10" t="inlineStr">
        <is>
          <t>Diego Fuentes · Ejecutivo Zona Sur</t>
        </is>
      </c>
      <c r="G27" s="6" t="inlineStr">
        <is>
          <t>Ruta Sur · lunes y jueves</t>
        </is>
      </c>
    </row>
    <row r="28">
      <c r="A28" s="5" t="inlineStr">
        <is>
          <t>Puente Alto</t>
        </is>
      </c>
      <c r="B28" s="10" t="inlineStr">
        <is>
          <t>Zona Sur</t>
        </is>
      </c>
      <c r="C28" s="11" t="inlineStr">
        <is>
          <t>C</t>
        </is>
      </c>
      <c r="D28" s="21">
        <f>VLOOKUP(C28,$J$5:$L$8,2,FALSE)</f>
        <v/>
      </c>
      <c r="E28" s="21">
        <f>VLOOKUP(C28,$J$5:$L$8,3,FALSE)</f>
        <v/>
      </c>
      <c r="F28" s="10" t="inlineStr">
        <is>
          <t>Diego Fuentes · Ejecutivo Zona Sur</t>
        </is>
      </c>
      <c r="G28" s="6" t="inlineStr">
        <is>
          <t>Ruta Sur · lunes y jueves</t>
        </is>
      </c>
    </row>
    <row r="29">
      <c r="A29" s="5" t="inlineStr">
        <is>
          <t>Valparaíso y Viña del Mar</t>
        </is>
      </c>
      <c r="B29" s="10" t="inlineStr">
        <is>
          <t>Regiones</t>
        </is>
      </c>
      <c r="C29" s="11" t="inlineStr">
        <is>
          <t>R</t>
        </is>
      </c>
      <c r="D29" s="21">
        <f>VLOOKUP(C29,$J$5:$L$8,2,FALSE)</f>
        <v/>
      </c>
      <c r="E29" s="21">
        <f>VLOOKUP(C29,$J$5:$L$8,3,FALSE)</f>
        <v/>
      </c>
      <c r="F29" s="10" t="inlineStr">
        <is>
          <t>Valentina Mora · Ejecutiva Regiones (remota)</t>
        </is>
      </c>
      <c r="G29" s="6" t="inlineStr">
        <is>
          <t>Despacho por transporte · plazo por confirmar</t>
        </is>
      </c>
    </row>
    <row r="30">
      <c r="A30" s="5" t="inlineStr">
        <is>
          <t>Concepción</t>
        </is>
      </c>
      <c r="B30" s="10" t="inlineStr">
        <is>
          <t>Regiones</t>
        </is>
      </c>
      <c r="C30" s="11" t="inlineStr">
        <is>
          <t>R</t>
        </is>
      </c>
      <c r="D30" s="21">
        <f>VLOOKUP(C30,$J$5:$L$8,2,FALSE)</f>
        <v/>
      </c>
      <c r="E30" s="21">
        <f>VLOOKUP(C30,$J$5:$L$8,3,FALSE)</f>
        <v/>
      </c>
      <c r="F30" s="10" t="inlineStr">
        <is>
          <t>Valentina Mora · Ejecutiva Regiones (remota)</t>
        </is>
      </c>
      <c r="G30" s="6" t="inlineStr">
        <is>
          <t>Despacho por transporte · plazo por confirmar</t>
        </is>
      </c>
    </row>
    <row r="31">
      <c r="A31" s="7" t="inlineStr">
        <is>
          <t>Otra región</t>
        </is>
      </c>
      <c r="B31" s="14" t="inlineStr">
        <is>
          <t>Regiones</t>
        </is>
      </c>
      <c r="C31" s="15" t="inlineStr">
        <is>
          <t>R</t>
        </is>
      </c>
      <c r="D31" s="22">
        <f>VLOOKUP(C31,$J$5:$L$8,2,FALSE)</f>
        <v/>
      </c>
      <c r="E31" s="22">
        <f>VLOOKUP(C31,$J$5:$L$8,3,FALSE)</f>
        <v/>
      </c>
      <c r="F31" s="14" t="inlineStr">
        <is>
          <t>Valentina Mora · Ejecutiva Regiones (remota)</t>
        </is>
      </c>
      <c r="G31" s="8" t="inlineStr">
        <is>
          <t>Despacho por transporte · plazo por confirmar</t>
        </is>
      </c>
    </row>
  </sheetData>
  <mergeCells count="1">
    <mergeCell ref="A2:G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F7BE00"/>
    <outlinePr summaryBelow="1" summaryRight="1"/>
    <pageSetUpPr fitToPage="1"/>
  </sheetPr>
  <dimension ref="A1:P34"/>
  <sheetViews>
    <sheetView showGridLines="0" zoomScale="90" workbookViewId="0">
      <pane ySplit="12" topLeftCell="A13" activePane="bottomLeft" state="frozen"/>
      <selection pane="bottomLeft" activeCell="A1" sqref="A1"/>
    </sheetView>
  </sheetViews>
  <sheetFormatPr baseColWidth="8" defaultRowHeight="15"/>
  <cols>
    <col width="28" customWidth="1" min="1" max="1"/>
    <col width="16" customWidth="1" min="2" max="2"/>
    <col width="20" customWidth="1" min="3" max="3"/>
    <col width="14" customWidth="1" min="4" max="4"/>
    <col width="10" customWidth="1" min="5" max="5"/>
    <col width="10" customWidth="1" min="6" max="6"/>
    <col width="10" customWidth="1" min="7" max="7"/>
    <col width="9" customWidth="1" min="8" max="8"/>
    <col width="10" customWidth="1" min="9" max="9"/>
    <col width="9" customWidth="1" min="10" max="10"/>
    <col width="10" customWidth="1" min="11" max="11"/>
    <col width="8" customWidth="1" min="12" max="12"/>
    <col width="11" customWidth="1" min="13" max="13"/>
    <col width="11" customWidth="1" min="14" max="14"/>
    <col width="10" customWidth="1" min="15" max="15"/>
    <col width="14" customWidth="1" min="16" max="16"/>
  </cols>
  <sheetData>
    <row r="1" ht="28" customHeight="1">
      <c r="A1" s="1" t="inlineStr">
        <is>
          <t>Financial Score v0.1 · clientes con compras</t>
        </is>
      </c>
      <c r="B1" s="2" t="n"/>
      <c r="C1" s="2" t="n"/>
      <c r="D1" s="2" t="n"/>
      <c r="E1" s="2" t="n"/>
      <c r="F1" s="2" t="n"/>
      <c r="G1" s="2" t="n"/>
      <c r="H1" s="2" t="n"/>
      <c r="I1" s="2" t="n"/>
      <c r="J1" s="2" t="n"/>
      <c r="K1" s="2" t="n"/>
      <c r="L1" s="2" t="n"/>
      <c r="M1" s="2" t="n"/>
      <c r="N1" s="2" t="n"/>
      <c r="O1" s="2" t="n"/>
      <c r="P1" s="2" t="n"/>
    </row>
    <row r="2" ht="16" customHeight="1">
      <c r="A2" s="3" t="inlineStr">
        <is>
          <t>Pesos originales M2 (35/30/25/10) reescalados para dar 15 % a la zona. Cuentas, montos y pedidos FICTICIOS de demostración (los mismos del prototipo).</t>
        </is>
      </c>
    </row>
    <row r="3"/>
    <row r="4" ht="30" customHeight="1">
      <c r="A4" s="4" t="inlineStr">
        <is>
          <t>Componente</t>
        </is>
      </c>
      <c r="B4" s="4" t="inlineStr">
        <is>
          <t>Peso</t>
        </is>
      </c>
      <c r="C4" s="4" t="inlineStr">
        <is>
          <t>Normalización (0–100)</t>
        </is>
      </c>
    </row>
    <row r="5">
      <c r="A5" s="23" t="inlineStr">
        <is>
          <t>Ticket promedio</t>
        </is>
      </c>
      <c r="B5" s="24" t="n">
        <v>0.3</v>
      </c>
      <c r="C5" s="25" t="inlineStr">
        <is>
          <t>MIN(100; ticket / 5.000)</t>
        </is>
      </c>
    </row>
    <row r="6">
      <c r="A6" s="23" t="inlineStr">
        <is>
          <t>Frecuencia</t>
        </is>
      </c>
      <c r="B6" s="24" t="n">
        <v>0.25</v>
      </c>
      <c r="C6" s="25" t="inlineStr">
        <is>
          <t>MIN(100; (pedidos en 180 días / 6) / 4 × 100)</t>
        </is>
      </c>
    </row>
    <row r="7">
      <c r="A7" s="23" t="inlineStr">
        <is>
          <t>Margen relativo</t>
        </is>
      </c>
      <c r="B7" s="24" t="n">
        <v>0.2</v>
      </c>
      <c r="C7" s="25" t="inlineStr">
        <is>
          <t>Dato 0–100 (por confirmar con finanzas)</t>
        </is>
      </c>
    </row>
    <row r="8">
      <c r="A8" s="23" t="inlineStr">
        <is>
          <t>Amplitud</t>
        </is>
      </c>
      <c r="B8" s="24" t="n">
        <v>0.1</v>
      </c>
      <c r="C8" s="25" t="inlineStr">
        <is>
          <t>MIN(100; categorías / 5 × 100)</t>
        </is>
      </c>
    </row>
    <row r="9">
      <c r="A9" s="23" t="inlineStr">
        <is>
          <t>Zona</t>
        </is>
      </c>
      <c r="B9" s="24" t="n">
        <v>0.15</v>
      </c>
      <c r="C9" s="25" t="inlineStr">
        <is>
          <t>Potencial de la comuna (02_ZONAS)</t>
        </is>
      </c>
    </row>
    <row r="10">
      <c r="A10" s="26" t="inlineStr">
        <is>
          <t>Suma de pesos (debe ser 100 %)</t>
        </is>
      </c>
      <c r="B10" s="27">
        <f>SUM(B5:B9)</f>
        <v/>
      </c>
      <c r="C10" s="28" t="n"/>
    </row>
    <row r="11"/>
    <row r="12" ht="30" customHeight="1">
      <c r="A12" s="4" t="inlineStr">
        <is>
          <t>Cliente (ficticio)</t>
        </is>
      </c>
      <c r="B12" s="4" t="inlineStr">
        <is>
          <t>Tipo</t>
        </is>
      </c>
      <c r="C12" s="4" t="inlineStr">
        <is>
          <t>Comuna</t>
        </is>
      </c>
      <c r="D12" s="4" t="inlineStr">
        <is>
          <t>Ticket promedio (CLP, ficticio)</t>
        </is>
      </c>
      <c r="E12" s="4" t="inlineStr">
        <is>
          <t>Pedidos 180 días</t>
        </is>
      </c>
      <c r="F12" s="4" t="inlineStr">
        <is>
          <t>Margen relativo</t>
        </is>
      </c>
      <c r="G12" s="4" t="inlineStr">
        <is>
          <t>Categorías</t>
        </is>
      </c>
      <c r="H12" s="4" t="inlineStr">
        <is>
          <t>Ticket n</t>
        </is>
      </c>
      <c r="I12" s="4" t="inlineStr">
        <is>
          <t>Frecuencia n</t>
        </is>
      </c>
      <c r="J12" s="4" t="inlineStr">
        <is>
          <t>Margen n</t>
        </is>
      </c>
      <c r="K12" s="4" t="inlineStr">
        <is>
          <t>Amplitud n</t>
        </is>
      </c>
      <c r="L12" s="4" t="inlineStr">
        <is>
          <t>Zona n</t>
        </is>
      </c>
      <c r="M12" s="4" t="inlineStr">
        <is>
          <t>Financial (Excel)</t>
        </is>
      </c>
      <c r="N12" s="4" t="inlineStr">
        <is>
          <t>Financial (prototipo)</t>
        </is>
      </c>
      <c r="O12" s="4" t="inlineStr">
        <is>
          <t>Diferencia</t>
        </is>
      </c>
      <c r="P12" s="4" t="inlineStr">
        <is>
          <t>Tipo de cliente (prototipo)</t>
        </is>
      </c>
    </row>
    <row r="13">
      <c r="A13" s="5" t="inlineStr">
        <is>
          <t>Hotel Altos del Parque</t>
        </is>
      </c>
      <c r="B13" s="10" t="inlineStr">
        <is>
          <t>Hotel</t>
        </is>
      </c>
      <c r="C13" s="10" t="inlineStr">
        <is>
          <t>Vitacura</t>
        </is>
      </c>
      <c r="D13" s="29" t="n">
        <v>432366</v>
      </c>
      <c r="E13" s="11" t="n">
        <v>13</v>
      </c>
      <c r="F13" s="11" t="n">
        <v>72</v>
      </c>
      <c r="G13" s="11" t="n">
        <v>4</v>
      </c>
      <c r="H13" s="30">
        <f>MIN(100,D13/5000)</f>
        <v/>
      </c>
      <c r="I13" s="30">
        <f>MIN(100,(E13/6)/4*100)</f>
        <v/>
      </c>
      <c r="J13" s="30">
        <f>F13</f>
        <v/>
      </c>
      <c r="K13" s="30">
        <f>MIN(100,G13/5*100)</f>
        <v/>
      </c>
      <c r="L13" s="30">
        <f>VLOOKUP(C13,'02_ZONAS'!$A$5:$E$31,5,FALSE)</f>
        <v/>
      </c>
      <c r="M13" s="21">
        <f>ROUND(H13*$B$5+I13*$B$6+J13*$B$7+K13*$B$8+L13*$B$9,0)</f>
        <v/>
      </c>
      <c r="N13" s="10" t="n">
        <v>77</v>
      </c>
      <c r="O13" s="21">
        <f>M13-N13</f>
        <v/>
      </c>
      <c r="P13" s="6" t="inlineStr">
        <is>
          <t>Frecuente</t>
        </is>
      </c>
    </row>
    <row r="14">
      <c r="A14" s="5" t="inlineStr">
        <is>
          <t>Restaurante Fogón 21</t>
        </is>
      </c>
      <c r="B14" s="10" t="inlineStr">
        <is>
          <t>Restaurante</t>
        </is>
      </c>
      <c r="C14" s="10" t="inlineStr">
        <is>
          <t>Las Condes</t>
        </is>
      </c>
      <c r="D14" s="29" t="n">
        <v>270571</v>
      </c>
      <c r="E14" s="11" t="n">
        <v>19</v>
      </c>
      <c r="F14" s="11" t="n">
        <v>64</v>
      </c>
      <c r="G14" s="11" t="n">
        <v>3</v>
      </c>
      <c r="H14" s="30">
        <f>MIN(100,D14/5000)</f>
        <v/>
      </c>
      <c r="I14" s="30">
        <f>MIN(100,(E14/6)/4*100)</f>
        <v/>
      </c>
      <c r="J14" s="30">
        <f>F14</f>
        <v/>
      </c>
      <c r="K14" s="30">
        <f>MIN(100,G14/5*100)</f>
        <v/>
      </c>
      <c r="L14" s="30">
        <f>VLOOKUP(C14,'02_ZONAS'!$A$5:$E$31,5,FALSE)</f>
        <v/>
      </c>
      <c r="M14" s="21">
        <f>ROUND(H14*$B$5+I14*$B$6+J14*$B$7+K14*$B$8+L14*$B$9,0)</f>
        <v/>
      </c>
      <c r="N14" s="10" t="n">
        <v>70</v>
      </c>
      <c r="O14" s="21">
        <f>M14-N14</f>
        <v/>
      </c>
      <c r="P14" s="6" t="inlineStr">
        <is>
          <t>Frecuente</t>
        </is>
      </c>
    </row>
    <row r="15">
      <c r="A15" s="5" t="inlineStr">
        <is>
          <t>Café La Esquina Verde</t>
        </is>
      </c>
      <c r="B15" s="10" t="inlineStr">
        <is>
          <t>Cafetería</t>
        </is>
      </c>
      <c r="C15" s="10" t="inlineStr">
        <is>
          <t>Ñuñoa</t>
        </is>
      </c>
      <c r="D15" s="29" t="n">
        <v>176500</v>
      </c>
      <c r="E15" s="11" t="n">
        <v>25</v>
      </c>
      <c r="F15" s="11" t="n">
        <v>58</v>
      </c>
      <c r="G15" s="11" t="n">
        <v>4</v>
      </c>
      <c r="H15" s="30">
        <f>MIN(100,D15/5000)</f>
        <v/>
      </c>
      <c r="I15" s="30">
        <f>MIN(100,(E15/6)/4*100)</f>
        <v/>
      </c>
      <c r="J15" s="30">
        <f>F15</f>
        <v/>
      </c>
      <c r="K15" s="30">
        <f>MIN(100,G15/5*100)</f>
        <v/>
      </c>
      <c r="L15" s="30">
        <f>VLOOKUP(C15,'02_ZONAS'!$A$5:$E$31,5,FALSE)</f>
        <v/>
      </c>
      <c r="M15" s="21">
        <f>ROUND(H15*$B$5+I15*$B$6+J15*$B$7+K15*$B$8+L15*$B$9,0)</f>
        <v/>
      </c>
      <c r="N15" s="10" t="n">
        <v>66</v>
      </c>
      <c r="O15" s="21">
        <f>M15-N15</f>
        <v/>
      </c>
      <c r="P15" s="6" t="inlineStr">
        <is>
          <t>Frecuente</t>
        </is>
      </c>
    </row>
    <row r="16">
      <c r="A16" s="5" t="inlineStr">
        <is>
          <t>Hotel Plaza Moneda</t>
        </is>
      </c>
      <c r="B16" s="10" t="inlineStr">
        <is>
          <t>Hotel</t>
        </is>
      </c>
      <c r="C16" s="10" t="inlineStr">
        <is>
          <t>Santiago Centro</t>
        </is>
      </c>
      <c r="D16" s="29" t="n">
        <v>304318</v>
      </c>
      <c r="E16" s="11" t="n">
        <v>8</v>
      </c>
      <c r="F16" s="11" t="n">
        <v>55</v>
      </c>
      <c r="G16" s="11" t="n">
        <v>3</v>
      </c>
      <c r="H16" s="30">
        <f>MIN(100,D16/5000)</f>
        <v/>
      </c>
      <c r="I16" s="30">
        <f>MIN(100,(E16/6)/4*100)</f>
        <v/>
      </c>
      <c r="J16" s="30">
        <f>F16</f>
        <v/>
      </c>
      <c r="K16" s="30">
        <f>MIN(100,G16/5*100)</f>
        <v/>
      </c>
      <c r="L16" s="30">
        <f>VLOOKUP(C16,'02_ZONAS'!$A$5:$E$31,5,FALSE)</f>
        <v/>
      </c>
      <c r="M16" s="21">
        <f>ROUND(H16*$B$5+I16*$B$6+J16*$B$7+K16*$B$8+L16*$B$9,0)</f>
        <v/>
      </c>
      <c r="N16" s="10" t="n">
        <v>54</v>
      </c>
      <c r="O16" s="21">
        <f>M16-N16</f>
        <v/>
      </c>
      <c r="P16" s="6" t="inlineStr">
        <is>
          <t>Frecuente</t>
        </is>
      </c>
    </row>
    <row r="17">
      <c r="A17" s="5" t="inlineStr">
        <is>
          <t>Café Bistró Providencia</t>
        </is>
      </c>
      <c r="B17" s="10" t="inlineStr">
        <is>
          <t>Restaurante</t>
        </is>
      </c>
      <c r="C17" s="10" t="inlineStr">
        <is>
          <t>Providencia</t>
        </is>
      </c>
      <c r="D17" s="29" t="n">
        <v>146235</v>
      </c>
      <c r="E17" s="11" t="n">
        <v>12</v>
      </c>
      <c r="F17" s="11" t="n">
        <v>61</v>
      </c>
      <c r="G17" s="11" t="n">
        <v>2</v>
      </c>
      <c r="H17" s="30">
        <f>MIN(100,D17/5000)</f>
        <v/>
      </c>
      <c r="I17" s="30">
        <f>MIN(100,(E17/6)/4*100)</f>
        <v/>
      </c>
      <c r="J17" s="30">
        <f>F17</f>
        <v/>
      </c>
      <c r="K17" s="30">
        <f>MIN(100,G17/5*100)</f>
        <v/>
      </c>
      <c r="L17" s="30">
        <f>VLOOKUP(C17,'02_ZONAS'!$A$5:$E$31,5,FALSE)</f>
        <v/>
      </c>
      <c r="M17" s="21">
        <f>ROUND(H17*$B$5+I17*$B$6+J17*$B$7+K17*$B$8+L17*$B$9,0)</f>
        <v/>
      </c>
      <c r="N17" s="10" t="n">
        <v>52</v>
      </c>
      <c r="O17" s="21">
        <f>M17-N17</f>
        <v/>
      </c>
      <c r="P17" s="6" t="inlineStr">
        <is>
          <t>Frecuente</t>
        </is>
      </c>
    </row>
    <row r="18">
      <c r="A18" s="5" t="inlineStr">
        <is>
          <t>Bistró Los Aromos</t>
        </is>
      </c>
      <c r="B18" s="10" t="inlineStr">
        <is>
          <t>Restaurante</t>
        </is>
      </c>
      <c r="C18" s="10" t="inlineStr">
        <is>
          <t>La Reina</t>
        </is>
      </c>
      <c r="D18" s="29" t="n">
        <v>128300</v>
      </c>
      <c r="E18" s="11" t="n">
        <v>8</v>
      </c>
      <c r="F18" s="11" t="n">
        <v>52</v>
      </c>
      <c r="G18" s="11" t="n">
        <v>2</v>
      </c>
      <c r="H18" s="30">
        <f>MIN(100,D18/5000)</f>
        <v/>
      </c>
      <c r="I18" s="30">
        <f>MIN(100,(E18/6)/4*100)</f>
        <v/>
      </c>
      <c r="J18" s="30">
        <f>F18</f>
        <v/>
      </c>
      <c r="K18" s="30">
        <f>MIN(100,G18/5*100)</f>
        <v/>
      </c>
      <c r="L18" s="30">
        <f>VLOOKUP(C18,'02_ZONAS'!$A$5:$E$31,5,FALSE)</f>
        <v/>
      </c>
      <c r="M18" s="21">
        <f>ROUND(H18*$B$5+I18*$B$6+J18*$B$7+K18*$B$8+L18*$B$9,0)</f>
        <v/>
      </c>
      <c r="N18" s="10" t="n">
        <v>41</v>
      </c>
      <c r="O18" s="21">
        <f>M18-N18</f>
        <v/>
      </c>
      <c r="P18" s="6" t="inlineStr">
        <is>
          <t>Frecuente</t>
        </is>
      </c>
    </row>
    <row r="19">
      <c r="A19" s="5" t="inlineStr">
        <is>
          <t>Hotel Terminal Aéreo</t>
        </is>
      </c>
      <c r="B19" s="10" t="inlineStr">
        <is>
          <t>Hotel</t>
        </is>
      </c>
      <c r="C19" s="10" t="inlineStr">
        <is>
          <t>Pudahuel</t>
        </is>
      </c>
      <c r="D19" s="29" t="n">
        <v>378879</v>
      </c>
      <c r="E19" s="11" t="n">
        <v>16</v>
      </c>
      <c r="F19" s="11" t="n">
        <v>49</v>
      </c>
      <c r="G19" s="11" t="n">
        <v>3</v>
      </c>
      <c r="H19" s="30">
        <f>MIN(100,D19/5000)</f>
        <v/>
      </c>
      <c r="I19" s="30">
        <f>MIN(100,(E19/6)/4*100)</f>
        <v/>
      </c>
      <c r="J19" s="30">
        <f>F19</f>
        <v/>
      </c>
      <c r="K19" s="30">
        <f>MIN(100,G19/5*100)</f>
        <v/>
      </c>
      <c r="L19" s="30">
        <f>VLOOKUP(C19,'02_ZONAS'!$A$5:$E$31,5,FALSE)</f>
        <v/>
      </c>
      <c r="M19" s="21">
        <f>ROUND(H19*$B$5+I19*$B$6+J19*$B$7+K19*$B$8+L19*$B$9,0)</f>
        <v/>
      </c>
      <c r="N19" s="10" t="n">
        <v>66</v>
      </c>
      <c r="O19" s="21">
        <f>M19-N19</f>
        <v/>
      </c>
      <c r="P19" s="6" t="inlineStr">
        <is>
          <t>Frecuente</t>
        </is>
      </c>
    </row>
    <row r="20">
      <c r="A20" s="5" t="inlineStr">
        <is>
          <t>Cafetería Los Maitenes</t>
        </is>
      </c>
      <c r="B20" s="10" t="inlineStr">
        <is>
          <t>Cafetería</t>
        </is>
      </c>
      <c r="C20" s="10" t="inlineStr">
        <is>
          <t>Huechuraba</t>
        </is>
      </c>
      <c r="D20" s="29" t="n">
        <v>137364</v>
      </c>
      <c r="E20" s="11" t="n">
        <v>6</v>
      </c>
      <c r="F20" s="11" t="n">
        <v>57</v>
      </c>
      <c r="G20" s="11" t="n">
        <v>1</v>
      </c>
      <c r="H20" s="30">
        <f>MIN(100,D20/5000)</f>
        <v/>
      </c>
      <c r="I20" s="30">
        <f>MIN(100,(E20/6)/4*100)</f>
        <v/>
      </c>
      <c r="J20" s="30">
        <f>F20</f>
        <v/>
      </c>
      <c r="K20" s="30">
        <f>MIN(100,G20/5*100)</f>
        <v/>
      </c>
      <c r="L20" s="30">
        <f>VLOOKUP(C20,'02_ZONAS'!$A$5:$E$31,5,FALSE)</f>
        <v/>
      </c>
      <c r="M20" s="21">
        <f>ROUND(H20*$B$5+I20*$B$6+J20*$B$7+K20*$B$8+L20*$B$9,0)</f>
        <v/>
      </c>
      <c r="N20" s="10" t="n">
        <v>38</v>
      </c>
      <c r="O20" s="21">
        <f>M20-N20</f>
        <v/>
      </c>
      <c r="P20" s="6" t="inlineStr">
        <is>
          <t>Frecuente</t>
        </is>
      </c>
    </row>
    <row r="21">
      <c r="A21" s="5" t="inlineStr">
        <is>
          <t>Cafetería Plaza Poniente</t>
        </is>
      </c>
      <c r="B21" s="10" t="inlineStr">
        <is>
          <t>Cafetería</t>
        </is>
      </c>
      <c r="C21" s="10" t="inlineStr">
        <is>
          <t>Maipú</t>
        </is>
      </c>
      <c r="D21" s="29" t="n">
        <v>92615</v>
      </c>
      <c r="E21" s="11" t="n">
        <v>8</v>
      </c>
      <c r="F21" s="11" t="n">
        <v>44</v>
      </c>
      <c r="G21" s="11" t="n">
        <v>1</v>
      </c>
      <c r="H21" s="30">
        <f>MIN(100,D21/5000)</f>
        <v/>
      </c>
      <c r="I21" s="30">
        <f>MIN(100,(E21/6)/4*100)</f>
        <v/>
      </c>
      <c r="J21" s="30">
        <f>F21</f>
        <v/>
      </c>
      <c r="K21" s="30">
        <f>MIN(100,G21/5*100)</f>
        <v/>
      </c>
      <c r="L21" s="30">
        <f>VLOOKUP(C21,'02_ZONAS'!$A$5:$E$31,5,FALSE)</f>
        <v/>
      </c>
      <c r="M21" s="21">
        <f>ROUND(H21*$B$5+I21*$B$6+J21*$B$7+K21*$B$8+L21*$B$9,0)</f>
        <v/>
      </c>
      <c r="N21" s="10" t="n">
        <v>31</v>
      </c>
      <c r="O21" s="21">
        <f>M21-N21</f>
        <v/>
      </c>
      <c r="P21" s="6" t="inlineStr">
        <is>
          <t>Frecuente</t>
        </is>
      </c>
    </row>
    <row r="22">
      <c r="A22" s="5" t="inlineStr">
        <is>
          <t>Picada El Sur</t>
        </is>
      </c>
      <c r="B22" s="10" t="inlineStr">
        <is>
          <t>Restaurante</t>
        </is>
      </c>
      <c r="C22" s="10" t="inlineStr">
        <is>
          <t>La Florida</t>
        </is>
      </c>
      <c r="D22" s="29" t="n">
        <v>93500</v>
      </c>
      <c r="E22" s="11" t="n">
        <v>2</v>
      </c>
      <c r="F22" s="11" t="n">
        <v>40</v>
      </c>
      <c r="G22" s="11" t="n">
        <v>1</v>
      </c>
      <c r="H22" s="30">
        <f>MIN(100,D22/5000)</f>
        <v/>
      </c>
      <c r="I22" s="30">
        <f>MIN(100,(E22/6)/4*100)</f>
        <v/>
      </c>
      <c r="J22" s="30">
        <f>F22</f>
        <v/>
      </c>
      <c r="K22" s="30">
        <f>MIN(100,G22/5*100)</f>
        <v/>
      </c>
      <c r="L22" s="30">
        <f>VLOOKUP(C22,'02_ZONAS'!$A$5:$E$31,5,FALSE)</f>
        <v/>
      </c>
      <c r="M22" s="21">
        <f>ROUND(H22*$B$5+I22*$B$6+J22*$B$7+K22*$B$8+L22*$B$9,0)</f>
        <v/>
      </c>
      <c r="N22" s="10" t="n">
        <v>24</v>
      </c>
      <c r="O22" s="21">
        <f>M22-N22</f>
        <v/>
      </c>
      <c r="P22" s="6" t="inlineStr">
        <is>
          <t>Inactivo</t>
        </is>
      </c>
    </row>
    <row r="23">
      <c r="A23" s="5" t="inlineStr">
        <is>
          <t>Eventos Cordillera</t>
        </is>
      </c>
      <c r="B23" s="10" t="inlineStr">
        <is>
          <t>Eventos o catering</t>
        </is>
      </c>
      <c r="C23" s="10" t="inlineStr">
        <is>
          <t>Lo Barnechea</t>
        </is>
      </c>
      <c r="D23" s="29" t="n">
        <v>518667</v>
      </c>
      <c r="E23" s="11" t="n">
        <v>4</v>
      </c>
      <c r="F23" s="11" t="n">
        <v>68</v>
      </c>
      <c r="G23" s="11" t="n">
        <v>4</v>
      </c>
      <c r="H23" s="30">
        <f>MIN(100,D23/5000)</f>
        <v/>
      </c>
      <c r="I23" s="30">
        <f>MIN(100,(E23/6)/4*100)</f>
        <v/>
      </c>
      <c r="J23" s="30">
        <f>F23</f>
        <v/>
      </c>
      <c r="K23" s="30">
        <f>MIN(100,G23/5*100)</f>
        <v/>
      </c>
      <c r="L23" s="30">
        <f>VLOOKUP(C23,'02_ZONAS'!$A$5:$E$31,5,FALSE)</f>
        <v/>
      </c>
      <c r="M23" s="21">
        <f>ROUND(H23*$B$5+I23*$B$6+J23*$B$7+K23*$B$8+L23*$B$9,0)</f>
        <v/>
      </c>
      <c r="N23" s="10" t="n">
        <v>71</v>
      </c>
      <c r="O23" s="21">
        <f>M23-N23</f>
        <v/>
      </c>
      <c r="P23" s="6" t="inlineStr">
        <is>
          <t>Ocasional</t>
        </is>
      </c>
    </row>
    <row r="24">
      <c r="A24" s="5" t="inlineStr">
        <is>
          <t>Hostal Patio Recoleta</t>
        </is>
      </c>
      <c r="B24" s="10" t="inlineStr">
        <is>
          <t>Hotel</t>
        </is>
      </c>
      <c r="C24" s="10" t="inlineStr">
        <is>
          <t>Recoleta</t>
        </is>
      </c>
      <c r="D24" s="29" t="n">
        <v>70600</v>
      </c>
      <c r="E24" s="11" t="n">
        <v>5</v>
      </c>
      <c r="F24" s="11" t="n">
        <v>46</v>
      </c>
      <c r="G24" s="11" t="n">
        <v>1</v>
      </c>
      <c r="H24" s="30">
        <f>MIN(100,D24/5000)</f>
        <v/>
      </c>
      <c r="I24" s="30">
        <f>MIN(100,(E24/6)/4*100)</f>
        <v/>
      </c>
      <c r="J24" s="30">
        <f>F24</f>
        <v/>
      </c>
      <c r="K24" s="30">
        <f>MIN(100,G24/5*100)</f>
        <v/>
      </c>
      <c r="L24" s="30">
        <f>VLOOKUP(C24,'02_ZONAS'!$A$5:$E$31,5,FALSE)</f>
        <v/>
      </c>
      <c r="M24" s="21">
        <f>ROUND(H24*$B$5+I24*$B$6+J24*$B$7+K24*$B$8+L24*$B$9,0)</f>
        <v/>
      </c>
      <c r="N24" s="10" t="n">
        <v>27</v>
      </c>
      <c r="O24" s="21">
        <f>M24-N24</f>
        <v/>
      </c>
      <c r="P24" s="6" t="inlineStr">
        <is>
          <t>Frecuente</t>
        </is>
      </c>
    </row>
    <row r="25">
      <c r="A25" s="5" t="inlineStr">
        <is>
          <t>Café Andén</t>
        </is>
      </c>
      <c r="B25" s="10" t="inlineStr">
        <is>
          <t>Cafetería</t>
        </is>
      </c>
      <c r="C25" s="10" t="inlineStr">
        <is>
          <t>Estación Central</t>
        </is>
      </c>
      <c r="D25" s="29" t="n">
        <v>64500</v>
      </c>
      <c r="E25" s="11" t="n">
        <v>2</v>
      </c>
      <c r="F25" s="11" t="n">
        <v>50</v>
      </c>
      <c r="G25" s="11" t="n">
        <v>1</v>
      </c>
      <c r="H25" s="30">
        <f>MIN(100,D25/5000)</f>
        <v/>
      </c>
      <c r="I25" s="30">
        <f>MIN(100,(E25/6)/4*100)</f>
        <v/>
      </c>
      <c r="J25" s="30">
        <f>F25</f>
        <v/>
      </c>
      <c r="K25" s="30">
        <f>MIN(100,G25/5*100)</f>
        <v/>
      </c>
      <c r="L25" s="30">
        <f>VLOOKUP(C25,'02_ZONAS'!$A$5:$E$31,5,FALSE)</f>
        <v/>
      </c>
      <c r="M25" s="21">
        <f>ROUND(H25*$B$5+I25*$B$6+J25*$B$7+K25*$B$8+L25*$B$9,0)</f>
        <v/>
      </c>
      <c r="N25" s="10" t="n">
        <v>24</v>
      </c>
      <c r="O25" s="21">
        <f>M25-N25</f>
        <v/>
      </c>
      <c r="P25" s="6" t="inlineStr">
        <is>
          <t>Nuevo</t>
        </is>
      </c>
    </row>
    <row r="26">
      <c r="A26" s="5" t="inlineStr">
        <is>
          <t>Restaurante Costanera Viña</t>
        </is>
      </c>
      <c r="B26" s="10" t="inlineStr">
        <is>
          <t>Restaurante</t>
        </is>
      </c>
      <c r="C26" s="10" t="inlineStr">
        <is>
          <t>Valparaíso y Viña del Mar</t>
        </is>
      </c>
      <c r="D26" s="29" t="n">
        <v>208300</v>
      </c>
      <c r="E26" s="11" t="n">
        <v>6</v>
      </c>
      <c r="F26" s="11" t="n">
        <v>41</v>
      </c>
      <c r="G26" s="11" t="n">
        <v>2</v>
      </c>
      <c r="H26" s="30">
        <f>MIN(100,D26/5000)</f>
        <v/>
      </c>
      <c r="I26" s="30">
        <f>MIN(100,(E26/6)/4*100)</f>
        <v/>
      </c>
      <c r="J26" s="30">
        <f>F26</f>
        <v/>
      </c>
      <c r="K26" s="30">
        <f>MIN(100,G26/5*100)</f>
        <v/>
      </c>
      <c r="L26" s="30">
        <f>VLOOKUP(C26,'02_ZONAS'!$A$5:$E$31,5,FALSE)</f>
        <v/>
      </c>
      <c r="M26" s="21">
        <f>ROUND(H26*$B$5+I26*$B$6+J26*$B$7+K26*$B$8+L26*$B$9,0)</f>
        <v/>
      </c>
      <c r="N26" s="10" t="n">
        <v>35</v>
      </c>
      <c r="O26" s="21">
        <f>M26-N26</f>
        <v/>
      </c>
      <c r="P26" s="6" t="inlineStr">
        <is>
          <t>Frecuente</t>
        </is>
      </c>
    </row>
    <row r="27">
      <c r="A27" s="5" t="inlineStr">
        <is>
          <t>Hotel Bahía Sur</t>
        </is>
      </c>
      <c r="B27" s="10" t="inlineStr">
        <is>
          <t>Hotel</t>
        </is>
      </c>
      <c r="C27" s="10" t="inlineStr">
        <is>
          <t>Concepción</t>
        </is>
      </c>
      <c r="D27" s="29" t="n">
        <v>239000</v>
      </c>
      <c r="E27" s="11" t="n">
        <v>1</v>
      </c>
      <c r="F27" s="11" t="n">
        <v>38</v>
      </c>
      <c r="G27" s="11" t="n">
        <v>2</v>
      </c>
      <c r="H27" s="30">
        <f>MIN(100,D27/5000)</f>
        <v/>
      </c>
      <c r="I27" s="30">
        <f>MIN(100,(E27/6)/4*100)</f>
        <v/>
      </c>
      <c r="J27" s="30">
        <f>F27</f>
        <v/>
      </c>
      <c r="K27" s="30">
        <f>MIN(100,G27/5*100)</f>
        <v/>
      </c>
      <c r="L27" s="30">
        <f>VLOOKUP(C27,'02_ZONAS'!$A$5:$E$31,5,FALSE)</f>
        <v/>
      </c>
      <c r="M27" s="21">
        <f>ROUND(H27*$B$5+I27*$B$6+J27*$B$7+K27*$B$8+L27*$B$9,0)</f>
        <v/>
      </c>
      <c r="N27" s="10" t="n">
        <v>31</v>
      </c>
      <c r="O27" s="21">
        <f>M27-N27</f>
        <v/>
      </c>
      <c r="P27" s="6" t="inlineStr">
        <is>
          <t>Nuevo</t>
        </is>
      </c>
    </row>
    <row r="28">
      <c r="A28" s="5" t="inlineStr">
        <is>
          <t>Bar Once Providencia</t>
        </is>
      </c>
      <c r="B28" s="10" t="inlineStr">
        <is>
          <t>Restaurante</t>
        </is>
      </c>
      <c r="C28" s="10" t="inlineStr">
        <is>
          <t>Providencia</t>
        </is>
      </c>
      <c r="D28" s="29" t="n">
        <v>229487</v>
      </c>
      <c r="E28" s="11" t="n">
        <v>20</v>
      </c>
      <c r="F28" s="11" t="n">
        <v>63</v>
      </c>
      <c r="G28" s="11" t="n">
        <v>3</v>
      </c>
      <c r="H28" s="30">
        <f>MIN(100,D28/5000)</f>
        <v/>
      </c>
      <c r="I28" s="30">
        <f>MIN(100,(E28/6)/4*100)</f>
        <v/>
      </c>
      <c r="J28" s="30">
        <f>F28</f>
        <v/>
      </c>
      <c r="K28" s="30">
        <f>MIN(100,G28/5*100)</f>
        <v/>
      </c>
      <c r="L28" s="30">
        <f>VLOOKUP(C28,'02_ZONAS'!$A$5:$E$31,5,FALSE)</f>
        <v/>
      </c>
      <c r="M28" s="21">
        <f>ROUND(H28*$B$5+I28*$B$6+J28*$B$7+K28*$B$8+L28*$B$9,0)</f>
        <v/>
      </c>
      <c r="N28" s="10" t="n">
        <v>68</v>
      </c>
      <c r="O28" s="21">
        <f>M28-N28</f>
        <v/>
      </c>
      <c r="P28" s="6" t="inlineStr">
        <is>
          <t>Frecuente</t>
        </is>
      </c>
    </row>
    <row r="29">
      <c r="A29" s="5" t="inlineStr">
        <is>
          <t>Hotel Mirador Andino</t>
        </is>
      </c>
      <c r="B29" s="10" t="inlineStr">
        <is>
          <t>Hotel</t>
        </is>
      </c>
      <c r="C29" s="10" t="inlineStr">
        <is>
          <t>Las Condes</t>
        </is>
      </c>
      <c r="D29" s="29" t="n">
        <v>457895</v>
      </c>
      <c r="E29" s="11" t="n">
        <v>10</v>
      </c>
      <c r="F29" s="11" t="n">
        <v>74</v>
      </c>
      <c r="G29" s="11" t="n">
        <v>4</v>
      </c>
      <c r="H29" s="30">
        <f>MIN(100,D29/5000)</f>
        <v/>
      </c>
      <c r="I29" s="30">
        <f>MIN(100,(E29/6)/4*100)</f>
        <v/>
      </c>
      <c r="J29" s="30">
        <f>F29</f>
        <v/>
      </c>
      <c r="K29" s="30">
        <f>MIN(100,G29/5*100)</f>
        <v/>
      </c>
      <c r="L29" s="30">
        <f>VLOOKUP(C29,'02_ZONAS'!$A$5:$E$31,5,FALSE)</f>
        <v/>
      </c>
      <c r="M29" s="21">
        <f>ROUND(H29*$B$5+I29*$B$6+J29*$B$7+K29*$B$8+L29*$B$9,0)</f>
        <v/>
      </c>
      <c r="N29" s="10" t="n">
        <v>76</v>
      </c>
      <c r="O29" s="21">
        <f>M29-N29</f>
        <v/>
      </c>
      <c r="P29" s="6" t="inlineStr">
        <is>
          <t>Frecuente</t>
        </is>
      </c>
    </row>
    <row r="30">
      <c r="A30" s="5" t="inlineStr">
        <is>
          <t>Café Macul 40</t>
        </is>
      </c>
      <c r="B30" s="10" t="inlineStr">
        <is>
          <t>Cafetería</t>
        </is>
      </c>
      <c r="C30" s="10" t="inlineStr">
        <is>
          <t>Macul</t>
        </is>
      </c>
      <c r="D30" s="29" t="n">
        <v>72167</v>
      </c>
      <c r="E30" s="11" t="n">
        <v>6</v>
      </c>
      <c r="F30" s="11" t="n">
        <v>47</v>
      </c>
      <c r="G30" s="11" t="n">
        <v>2</v>
      </c>
      <c r="H30" s="30">
        <f>MIN(100,D30/5000)</f>
        <v/>
      </c>
      <c r="I30" s="30">
        <f>MIN(100,(E30/6)/4*100)</f>
        <v/>
      </c>
      <c r="J30" s="30">
        <f>F30</f>
        <v/>
      </c>
      <c r="K30" s="30">
        <f>MIN(100,G30/5*100)</f>
        <v/>
      </c>
      <c r="L30" s="30">
        <f>VLOOKUP(C30,'02_ZONAS'!$A$5:$E$31,5,FALSE)</f>
        <v/>
      </c>
      <c r="M30" s="21">
        <f>ROUND(H30*$B$5+I30*$B$6+J30*$B$7+K30*$B$8+L30*$B$9,0)</f>
        <v/>
      </c>
      <c r="N30" s="10" t="n">
        <v>30</v>
      </c>
      <c r="O30" s="21">
        <f>M30-N30</f>
        <v/>
      </c>
      <c r="P30" s="6" t="inlineStr">
        <is>
          <t>Nuevo</t>
        </is>
      </c>
    </row>
    <row r="31">
      <c r="A31" s="5" t="inlineStr">
        <is>
          <t>Restaurante Patio Peñalolén</t>
        </is>
      </c>
      <c r="B31" s="10" t="inlineStr">
        <is>
          <t>Restaurante</t>
        </is>
      </c>
      <c r="C31" s="10" t="inlineStr">
        <is>
          <t>Peñalolén</t>
        </is>
      </c>
      <c r="D31" s="29" t="n">
        <v>100222</v>
      </c>
      <c r="E31" s="11" t="n">
        <v>7</v>
      </c>
      <c r="F31" s="11" t="n">
        <v>43</v>
      </c>
      <c r="G31" s="11" t="n">
        <v>1</v>
      </c>
      <c r="H31" s="30">
        <f>MIN(100,D31/5000)</f>
        <v/>
      </c>
      <c r="I31" s="30">
        <f>MIN(100,(E31/6)/4*100)</f>
        <v/>
      </c>
      <c r="J31" s="30">
        <f>F31</f>
        <v/>
      </c>
      <c r="K31" s="30">
        <f>MIN(100,G31/5*100)</f>
        <v/>
      </c>
      <c r="L31" s="30">
        <f>VLOOKUP(C31,'02_ZONAS'!$A$5:$E$31,5,FALSE)</f>
        <v/>
      </c>
      <c r="M31" s="21">
        <f>ROUND(H31*$B$5+I31*$B$6+J31*$B$7+K31*$B$8+L31*$B$9,0)</f>
        <v/>
      </c>
      <c r="N31" s="10" t="n">
        <v>30</v>
      </c>
      <c r="O31" s="21">
        <f>M31-N31</f>
        <v/>
      </c>
      <c r="P31" s="6" t="inlineStr">
        <is>
          <t>Frecuente</t>
        </is>
      </c>
    </row>
    <row r="32">
      <c r="A32" s="7" t="inlineStr">
        <is>
          <t>Catering El Portal</t>
        </is>
      </c>
      <c r="B32" s="14" t="inlineStr">
        <is>
          <t>Eventos o catering</t>
        </is>
      </c>
      <c r="C32" s="14" t="inlineStr">
        <is>
          <t>San Miguel</t>
        </is>
      </c>
      <c r="D32" s="31" t="n">
        <v>97833</v>
      </c>
      <c r="E32" s="15" t="n">
        <v>5</v>
      </c>
      <c r="F32" s="15" t="n">
        <v>45</v>
      </c>
      <c r="G32" s="15" t="n">
        <v>1</v>
      </c>
      <c r="H32" s="32">
        <f>MIN(100,D32/5000)</f>
        <v/>
      </c>
      <c r="I32" s="32">
        <f>MIN(100,(E32/6)/4*100)</f>
        <v/>
      </c>
      <c r="J32" s="32">
        <f>F32</f>
        <v/>
      </c>
      <c r="K32" s="32">
        <f>MIN(100,G32/5*100)</f>
        <v/>
      </c>
      <c r="L32" s="32">
        <f>VLOOKUP(C32,'02_ZONAS'!$A$5:$E$31,5,FALSE)</f>
        <v/>
      </c>
      <c r="M32" s="22">
        <f>ROUND(H32*$B$5+I32*$B$6+J32*$B$7+K32*$B$8+L32*$B$9,0)</f>
        <v/>
      </c>
      <c r="N32" s="14" t="n">
        <v>28</v>
      </c>
      <c r="O32" s="22">
        <f>M32-N32</f>
        <v/>
      </c>
      <c r="P32" s="8" t="inlineStr">
        <is>
          <t>Frecuente</t>
        </is>
      </c>
    </row>
    <row r="33"/>
    <row r="34">
      <c r="A34" s="20" t="inlineStr">
        <is>
          <t>Tipo de cliente: Nuevo = primera compra en los últimos 90 días; Ocasional = 1 o 2 compras en 90 días; Frecuente = más de 2; Inactivo = sin compras en 90 días.</t>
        </is>
      </c>
    </row>
  </sheetData>
  <mergeCells count="1">
    <mergeCell ref="A2:P2"/>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tabColor rgb="003F3F40"/>
    <outlinePr summaryBelow="1" summaryRight="1"/>
    <pageSetUpPr fitToPage="1"/>
  </sheetPr>
  <dimension ref="A1:L36"/>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28" customWidth="1" min="2" max="2"/>
    <col width="12" customWidth="1" min="3" max="3"/>
    <col width="46" customWidth="1" min="4" max="4"/>
    <col width="9" customWidth="1" min="5" max="5"/>
    <col width="16" customWidth="1" min="6" max="6"/>
    <col width="22" customWidth="1" min="7" max="7"/>
    <col width="11" customWidth="1" min="8" max="8"/>
    <col width="16" customWidth="1" min="9" max="9"/>
    <col width="22" customWidth="1" min="10" max="10"/>
    <col width="26" customWidth="1" min="11" max="11"/>
    <col width="30" customWidth="1" min="12" max="12"/>
  </cols>
  <sheetData>
    <row r="1" ht="28" customHeight="1">
      <c r="A1" s="1" t="inlineStr">
        <is>
          <t>KPIs comerciales, operacionales, de inbound y de experiencia</t>
        </is>
      </c>
      <c r="B1" s="2" t="n"/>
      <c r="C1" s="2" t="n"/>
      <c r="D1" s="2" t="n"/>
      <c r="E1" s="2" t="n"/>
      <c r="F1" s="2" t="n"/>
      <c r="G1" s="2" t="n"/>
      <c r="H1" s="2" t="n"/>
      <c r="I1" s="2" t="n"/>
      <c r="J1" s="2" t="n"/>
      <c r="K1" s="2" t="n"/>
      <c r="L1" s="2" t="n"/>
    </row>
    <row r="2" ht="16" customHeight="1">
      <c r="A2" s="3" t="inlineStr">
        <is>
          <t>Matriz propuesta. Ninguna cifra es resultado medido. Las metas académicas del caso se citan con su fuente [3]; el resto se fija tras levantar línea base.</t>
        </is>
      </c>
    </row>
    <row r="3"/>
    <row r="4" ht="30" customHeight="1">
      <c r="A4" s="4" t="inlineStr">
        <is>
          <t>ID</t>
        </is>
      </c>
      <c r="B4" s="4" t="inlineStr">
        <is>
          <t>KPI</t>
        </is>
      </c>
      <c r="C4" s="4" t="inlineStr">
        <is>
          <t>Tipo</t>
        </is>
      </c>
      <c r="D4" s="4" t="inlineStr">
        <is>
          <t>Fórmula</t>
        </is>
      </c>
      <c r="E4" s="4" t="inlineStr">
        <is>
          <t>Unidad</t>
        </is>
      </c>
      <c r="F4" s="4" t="inlineStr">
        <is>
          <t>Ventana / período</t>
        </is>
      </c>
      <c r="G4" s="4" t="inlineStr">
        <is>
          <t>Fuente de datos</t>
        </is>
      </c>
      <c r="H4" s="4" t="inlineStr">
        <is>
          <t>Frecuencia</t>
        </is>
      </c>
      <c r="I4" s="4" t="inlineStr">
        <is>
          <t>Responsable</t>
        </is>
      </c>
      <c r="J4" s="4" t="inlineStr">
        <is>
          <t>Línea base</t>
        </is>
      </c>
      <c r="K4" s="4" t="inlineStr">
        <is>
          <t>Umbral o meta propuesta</t>
        </is>
      </c>
      <c r="L4" s="4" t="inlineStr">
        <is>
          <t>Decisión que apoya</t>
        </is>
      </c>
    </row>
    <row r="5">
      <c r="A5" s="5" t="inlineStr">
        <is>
          <t>K01</t>
        </is>
      </c>
      <c r="B5" s="10" t="inlineStr">
        <is>
          <t>Tasa de acceso Empresas</t>
        </is>
      </c>
      <c r="C5" s="10" t="inlineStr">
        <is>
          <t>Captación</t>
        </is>
      </c>
      <c r="D5" s="10" t="inlineStr">
        <is>
          <t>Clics únicos en Empresas / sesiones del inicio × 100</t>
        </is>
      </c>
      <c r="E5" s="10" t="inlineStr">
        <is>
          <t>%</t>
        </is>
      </c>
      <c r="F5" s="10" t="inlineStr">
        <is>
          <t>Semanal</t>
        </is>
      </c>
      <c r="G5" s="10" t="inlineStr">
        <is>
          <t>Analítica web (eventos)</t>
        </is>
      </c>
      <c r="H5" s="10" t="inlineStr">
        <is>
          <t>Semanal</t>
        </is>
      </c>
      <c r="I5" s="10" t="inlineStr">
        <is>
          <t>Marketing</t>
        </is>
      </c>
      <c r="J5" s="10" t="inlineStr">
        <is>
          <t>[A LEVANTAR]</t>
        </is>
      </c>
      <c r="K5" s="10" t="inlineStr">
        <is>
          <t>Definir tras 4 semanas</t>
        </is>
      </c>
      <c r="L5" s="6" t="inlineStr">
        <is>
          <t>Ubicación y rótulo del acceso</t>
        </is>
      </c>
    </row>
    <row r="6">
      <c r="A6" s="5" t="inlineStr">
        <is>
          <t>K02</t>
        </is>
      </c>
      <c r="B6" s="10" t="inlineStr">
        <is>
          <t>Tasa de identificación</t>
        </is>
      </c>
      <c r="C6" s="10" t="inlineStr">
        <is>
          <t>Inbound</t>
        </is>
      </c>
      <c r="D6" s="10" t="inlineStr">
        <is>
          <t>Contactos con correo y permiso / sesiones que inician tus datos × 100</t>
        </is>
      </c>
      <c r="E6" s="10" t="inlineStr">
        <is>
          <t>%</t>
        </is>
      </c>
      <c r="F6" s="10" t="inlineStr">
        <is>
          <t>Semanal</t>
        </is>
      </c>
      <c r="G6" s="10" t="inlineStr">
        <is>
          <t>Eventos del formulario + consentimiento</t>
        </is>
      </c>
      <c r="H6" s="10" t="inlineStr">
        <is>
          <t>Semanal</t>
        </is>
      </c>
      <c r="I6" s="10" t="inlineStr">
        <is>
          <t>Marketing</t>
        </is>
      </c>
      <c r="J6" s="10" t="inlineStr">
        <is>
          <t>[A LEVANTAR]</t>
        </is>
      </c>
      <c r="K6" s="10" t="inlineStr">
        <is>
          <t>Definir tras 4 semanas</t>
        </is>
      </c>
      <c r="L6" s="6" t="inlineStr">
        <is>
          <t>Campos y explicación de uso</t>
        </is>
      </c>
    </row>
    <row r="7">
      <c r="A7" s="5" t="inlineStr">
        <is>
          <t>K03</t>
        </is>
      </c>
      <c r="B7" s="10" t="inlineStr">
        <is>
          <t>Finalización del diagnóstico</t>
        </is>
      </c>
      <c r="C7" s="10" t="inlineStr">
        <is>
          <t>Activación</t>
        </is>
      </c>
      <c r="D7" s="10" t="inlineStr">
        <is>
          <t>Sesiones que terminan los 3 pasos y ven su propuesta / sesiones que iniciaron × 100</t>
        </is>
      </c>
      <c r="E7" s="10" t="inlineStr">
        <is>
          <t>%</t>
        </is>
      </c>
      <c r="F7" s="10" t="inlineStr">
        <is>
          <t>Semanal</t>
        </is>
      </c>
      <c r="G7" s="10" t="inlineStr">
        <is>
          <t>Eventos del portal</t>
        </is>
      </c>
      <c r="H7" s="10" t="inlineStr">
        <is>
          <t>Semanal</t>
        </is>
      </c>
      <c r="I7" s="10" t="inlineStr">
        <is>
          <t>Marketing / UX</t>
        </is>
      </c>
      <c r="J7" s="10" t="inlineStr">
        <is>
          <t>[A LEVANTAR]</t>
        </is>
      </c>
      <c r="K7" s="10" t="inlineStr">
        <is>
          <t>Definir tras 4 semanas</t>
        </is>
      </c>
      <c r="L7" s="6" t="inlineStr">
        <is>
          <t>Orden y redacción de los pasos</t>
        </is>
      </c>
    </row>
    <row r="8">
      <c r="A8" s="5" t="inlineStr">
        <is>
          <t>K04</t>
        </is>
      </c>
      <c r="B8" s="10" t="inlineStr">
        <is>
          <t>Pedido de contacto humano</t>
        </is>
      </c>
      <c r="C8" s="10" t="inlineStr">
        <is>
          <t>Activación</t>
        </is>
      </c>
      <c r="D8" s="10" t="inlineStr">
        <is>
          <t>Contactos que solicitan revisión o propuesta por correo / propuestas vistas × 100</t>
        </is>
      </c>
      <c r="E8" s="10" t="inlineStr">
        <is>
          <t>%</t>
        </is>
      </c>
      <c r="F8" s="10" t="inlineStr">
        <is>
          <t>Semanal</t>
        </is>
      </c>
      <c r="G8" s="10" t="inlineStr">
        <is>
          <t>CRM (R02)</t>
        </is>
      </c>
      <c r="H8" s="10" t="inlineStr">
        <is>
          <t>Semanal</t>
        </is>
      </c>
      <c r="I8" s="10" t="inlineStr">
        <is>
          <t>Ventas</t>
        </is>
      </c>
      <c r="J8" s="10" t="inlineStr">
        <is>
          <t>[A LEVANTAR]</t>
        </is>
      </c>
      <c r="K8" s="10" t="inlineStr">
        <is>
          <t>Definir tras 4 semanas</t>
        </is>
      </c>
      <c r="L8" s="6" t="inlineStr">
        <is>
          <t>Canal por defecto y disponibilidad</t>
        </is>
      </c>
    </row>
    <row r="9">
      <c r="A9" s="5" t="inlineStr">
        <is>
          <t>K05</t>
        </is>
      </c>
      <c r="B9" s="10" t="inlineStr">
        <is>
          <t>Primera respuesta humana en chat</t>
        </is>
      </c>
      <c r="C9" s="10" t="inlineStr">
        <is>
          <t>Servicio</t>
        </is>
      </c>
      <c r="D9" s="10" t="inlineStr">
        <is>
          <t>Mediana (primera respuesta de la ejecutiva − ingreso al chat), por zona</t>
        </is>
      </c>
      <c r="E9" s="10" t="inlineStr">
        <is>
          <t>min</t>
        </is>
      </c>
      <c r="F9" s="10" t="inlineStr">
        <is>
          <t>Diaria</t>
        </is>
      </c>
      <c r="G9" s="10" t="inlineStr">
        <is>
          <t>CRM (marcas de tiempo)</t>
        </is>
      </c>
      <c r="H9" s="10" t="inlineStr">
        <is>
          <t>Diaria</t>
        </is>
      </c>
      <c r="I9" s="10" t="inlineStr">
        <is>
          <t>Jefatura comercial</t>
        </is>
      </c>
      <c r="J9" s="10" t="inlineStr">
        <is>
          <t>[A LEVANTAR]</t>
        </is>
      </c>
      <c r="K9" s="10" t="inlineStr">
        <is>
          <t>≤ 5 min (hipótesis del equipo)</t>
        </is>
      </c>
      <c r="L9" s="6" t="inlineStr">
        <is>
          <t>Dotación por zona y horario</t>
        </is>
      </c>
    </row>
    <row r="10">
      <c r="A10" s="5" t="inlineStr">
        <is>
          <t>K06</t>
        </is>
      </c>
      <c r="B10" s="10" t="inlineStr">
        <is>
          <t>Llamadas en plazo</t>
        </is>
      </c>
      <c r="C10" s="10" t="inlineStr">
        <is>
          <t>Servicio</t>
        </is>
      </c>
      <c r="D10" s="10" t="inlineStr">
        <is>
          <t>Llamadas realizadas dentro de la hora o del plazo informado / llamadas pedidas × 100</t>
        </is>
      </c>
      <c r="E10" s="10" t="inlineStr">
        <is>
          <t>%</t>
        </is>
      </c>
      <c r="F10" s="10" t="inlineStr">
        <is>
          <t>Semanal</t>
        </is>
      </c>
      <c r="G10" s="10" t="inlineStr">
        <is>
          <t>CRM (cola de llamadas)</t>
        </is>
      </c>
      <c r="H10" s="10" t="inlineStr">
        <is>
          <t>Semanal</t>
        </is>
      </c>
      <c r="I10" s="10" t="inlineStr">
        <is>
          <t>Jefatura comercial</t>
        </is>
      </c>
      <c r="J10" s="10" t="inlineStr">
        <is>
          <t>[A LEVANTAR]</t>
        </is>
      </c>
      <c r="K10" s="10" t="inlineStr">
        <is>
          <t>Definir con capacidad real</t>
        </is>
      </c>
      <c r="L10" s="6" t="inlineStr">
        <is>
          <t>Reasignar entre zonas</t>
        </is>
      </c>
    </row>
    <row r="11">
      <c r="A11" s="5" t="inlineStr">
        <is>
          <t>K07</t>
        </is>
      </c>
      <c r="B11" s="10" t="inlineStr">
        <is>
          <t>Tasa MQL</t>
        </is>
      </c>
      <c r="C11" s="10" t="inlineStr">
        <is>
          <t>Calificación</t>
        </is>
      </c>
      <c r="D11" s="10" t="inlineStr">
        <is>
          <t>MQL / contactos identificados × 100, por zona</t>
        </is>
      </c>
      <c r="E11" s="10" t="inlineStr">
        <is>
          <t>%</t>
        </is>
      </c>
      <c r="F11" s="10" t="inlineStr">
        <is>
          <t>Mensual</t>
        </is>
      </c>
      <c r="G11" s="10" t="inlineStr">
        <is>
          <t>CRM + puntaje</t>
        </is>
      </c>
      <c r="H11" s="10" t="inlineStr">
        <is>
          <t>Mensual</t>
        </is>
      </c>
      <c r="I11" s="10" t="inlineStr">
        <is>
          <t>Marketing</t>
        </is>
      </c>
      <c r="J11" s="10" t="inlineStr">
        <is>
          <t>[A LEVANTAR]</t>
        </is>
      </c>
      <c r="K11" s="10" t="inlineStr">
        <is>
          <t>Definir tras calibrar</t>
        </is>
      </c>
      <c r="L11" s="6" t="inlineStr">
        <is>
          <t>Calibrar pesos y zonas</t>
        </is>
      </c>
    </row>
    <row r="12">
      <c r="A12" s="5" t="inlineStr">
        <is>
          <t>K08</t>
        </is>
      </c>
      <c r="B12" s="10" t="inlineStr">
        <is>
          <t>Tasa SQL</t>
        </is>
      </c>
      <c r="C12" s="10" t="inlineStr">
        <is>
          <t>Calificación</t>
        </is>
      </c>
      <c r="D12" s="10" t="inlineStr">
        <is>
          <t>SQL aceptados por una persona / MQL × 100, por zona</t>
        </is>
      </c>
      <c r="E12" s="10" t="inlineStr">
        <is>
          <t>%</t>
        </is>
      </c>
      <c r="F12" s="10" t="inlineStr">
        <is>
          <t>Mensual</t>
        </is>
      </c>
      <c r="G12" s="10" t="inlineStr">
        <is>
          <t>CRM</t>
        </is>
      </c>
      <c r="H12" s="10" t="inlineStr">
        <is>
          <t>Mensual</t>
        </is>
      </c>
      <c r="I12" s="10" t="inlineStr">
        <is>
          <t>Ventas</t>
        </is>
      </c>
      <c r="J12" s="10" t="inlineStr">
        <is>
          <t>[A LEVANTAR]</t>
        </is>
      </c>
      <c r="K12" s="10" t="inlineStr">
        <is>
          <t>Definir tras calibrar</t>
        </is>
      </c>
      <c r="L12" s="6" t="inlineStr">
        <is>
          <t>Calidad de leads por zona</t>
        </is>
      </c>
    </row>
    <row r="13">
      <c r="A13" s="5" t="inlineStr">
        <is>
          <t>K09</t>
        </is>
      </c>
      <c r="B13" s="10" t="inlineStr">
        <is>
          <t>Aceptación de propuesta</t>
        </is>
      </c>
      <c r="C13" s="10" t="inlineStr">
        <is>
          <t>Cierre</t>
        </is>
      </c>
      <c r="D13" s="10" t="inlineStr">
        <is>
          <t>Propuestas aceptadas / propuestas enviadas × 100; % ampliada</t>
        </is>
      </c>
      <c r="E13" s="10" t="inlineStr">
        <is>
          <t>%</t>
        </is>
      </c>
      <c r="F13" s="10" t="inlineStr">
        <is>
          <t>Mensual</t>
        </is>
      </c>
      <c r="G13" s="10" t="inlineStr">
        <is>
          <t>CRM (R08)</t>
        </is>
      </c>
      <c r="H13" s="10" t="inlineStr">
        <is>
          <t>Mensual</t>
        </is>
      </c>
      <c r="I13" s="10" t="inlineStr">
        <is>
          <t>Ventas</t>
        </is>
      </c>
      <c r="J13" s="10" t="inlineStr">
        <is>
          <t>[A LEVANTAR]</t>
        </is>
      </c>
      <c r="K13" s="10" t="inlineStr">
        <is>
          <t>Definir tras piloto</t>
        </is>
      </c>
      <c r="L13" s="6" t="inlineStr">
        <is>
          <t>Contenido de base y ampliada</t>
        </is>
      </c>
    </row>
    <row r="14">
      <c r="A14" s="5" t="inlineStr">
        <is>
          <t>K10</t>
        </is>
      </c>
      <c r="B14" s="10" t="inlineStr">
        <is>
          <t>Lead a cliente</t>
        </is>
      </c>
      <c r="C14" s="10" t="inlineStr">
        <is>
          <t>Cierre</t>
        </is>
      </c>
      <c r="D14" s="10" t="inlineStr">
        <is>
          <t>Clientes nuevos / leads de la cohorte × 100</t>
        </is>
      </c>
      <c r="E14" s="10" t="inlineStr">
        <is>
          <t>%</t>
        </is>
      </c>
      <c r="F14" s="10" t="inlineStr">
        <is>
          <t>Trimestral (cohorte)</t>
        </is>
      </c>
      <c r="G14" s="10" t="inlineStr">
        <is>
          <t>CRM + ventas</t>
        </is>
      </c>
      <c r="H14" s="10" t="inlineStr">
        <is>
          <t>Mensual</t>
        </is>
      </c>
      <c r="I14" s="10" t="inlineStr">
        <is>
          <t>Gerencia comercial</t>
        </is>
      </c>
      <c r="J14" s="10" t="inlineStr">
        <is>
          <t>12 % (supuesto académico [3])</t>
        </is>
      </c>
      <c r="K14" s="10" t="inlineStr">
        <is>
          <t>18 % (meta académica [3])</t>
        </is>
      </c>
      <c r="L14" s="6" t="inlineStr">
        <is>
          <t>Escalar o ajustar el MVP</t>
        </is>
      </c>
    </row>
    <row r="15">
      <c r="A15" s="5" t="inlineStr">
        <is>
          <t>K11</t>
        </is>
      </c>
      <c r="B15" s="10" t="inlineStr">
        <is>
          <t>Reposición digital</t>
        </is>
      </c>
      <c r="C15" s="10" t="inlineStr">
        <is>
          <t>Recompra</t>
        </is>
      </c>
      <c r="D15" s="10" t="inlineStr">
        <is>
          <t>Reposiciones por canal digital / reposiciones totales × 100</t>
        </is>
      </c>
      <c r="E15" s="10" t="inlineStr">
        <is>
          <t>%</t>
        </is>
      </c>
      <c r="F15" s="10" t="inlineStr">
        <is>
          <t>Mensual</t>
        </is>
      </c>
      <c r="G15" s="10" t="inlineStr">
        <is>
          <t>Pedidos + CRM</t>
        </is>
      </c>
      <c r="H15" s="10" t="inlineStr">
        <is>
          <t>Mensual</t>
        </is>
      </c>
      <c r="I15" s="10" t="inlineStr">
        <is>
          <t>Ejecutivos de cuenta</t>
        </is>
      </c>
      <c r="J15" s="10" t="inlineStr">
        <is>
          <t>18 % (supuesto académico [3])</t>
        </is>
      </c>
      <c r="K15" s="10" t="inlineStr">
        <is>
          <t>40 % a 12 meses (meta académica [3])</t>
        </is>
      </c>
      <c r="L15" s="6" t="inlineStr">
        <is>
          <t>Recompra en un toque y W7</t>
        </is>
      </c>
    </row>
    <row r="16">
      <c r="A16" s="5" t="inlineStr">
        <is>
          <t>K12</t>
        </is>
      </c>
      <c r="B16" s="10" t="inlineStr">
        <is>
          <t>Frecuencia de compra</t>
        </is>
      </c>
      <c r="C16" s="10" t="inlineStr">
        <is>
          <t>Recompra</t>
        </is>
      </c>
      <c r="D16" s="10" t="inlineStr">
        <is>
          <t>Promedio de días entre pedidos por cliente activo</t>
        </is>
      </c>
      <c r="E16" s="10" t="inlineStr">
        <is>
          <t>días</t>
        </is>
      </c>
      <c r="F16" s="10" t="inlineStr">
        <is>
          <t>Últimos 180 días</t>
        </is>
      </c>
      <c r="G16" s="10" t="inlineStr">
        <is>
          <t>Pedidos</t>
        </is>
      </c>
      <c r="H16" s="10" t="inlineStr">
        <is>
          <t>Mensual</t>
        </is>
      </c>
      <c r="I16" s="10" t="inlineStr">
        <is>
          <t>Ejecutivos de cuenta</t>
        </is>
      </c>
      <c r="J16" s="10" t="inlineStr">
        <is>
          <t>[A LEVANTAR]</t>
        </is>
      </c>
      <c r="K16" s="10" t="inlineStr">
        <is>
          <t>Bajar respecto de la línea base</t>
        </is>
      </c>
      <c r="L16" s="6" t="inlineStr">
        <is>
          <t>Momento de la recompra sugerida</t>
        </is>
      </c>
    </row>
    <row r="17">
      <c r="A17" s="5" t="inlineStr">
        <is>
          <t>K13</t>
        </is>
      </c>
      <c r="B17" s="10" t="inlineStr">
        <is>
          <t>Ticket promedio</t>
        </is>
      </c>
      <c r="C17" s="10" t="inlineStr">
        <is>
          <t>Comercial</t>
        </is>
      </c>
      <c r="D17" s="10" t="inlineStr">
        <is>
          <t>Ventas / pedidos, por tipo de cliente y zona</t>
        </is>
      </c>
      <c r="E17" s="10" t="inlineStr">
        <is>
          <t>CLP</t>
        </is>
      </c>
      <c r="F17" s="10" t="inlineStr">
        <is>
          <t>Mensual</t>
        </is>
      </c>
      <c r="G17" s="10" t="inlineStr">
        <is>
          <t>ERP / pedidos</t>
        </is>
      </c>
      <c r="H17" s="10" t="inlineStr">
        <is>
          <t>Mensual</t>
        </is>
      </c>
      <c r="I17" s="10" t="inlineStr">
        <is>
          <t>Gerencia comercial</t>
        </is>
      </c>
      <c r="J17" s="10" t="inlineStr">
        <is>
          <t>[A LEVANTAR con el ERP]</t>
        </is>
      </c>
      <c r="K17" s="10" t="inlineStr">
        <is>
          <t>Definir con finanzas</t>
        </is>
      </c>
      <c r="L17" s="6" t="inlineStr">
        <is>
          <t>Ampliada y prioridad de zona</t>
        </is>
      </c>
    </row>
    <row r="18">
      <c r="A18" s="5" t="inlineStr">
        <is>
          <t>K14</t>
        </is>
      </c>
      <c r="B18" s="10" t="inlineStr">
        <is>
          <t>Clientes activos y tipo</t>
        </is>
      </c>
      <c r="C18" s="10" t="inlineStr">
        <is>
          <t>Comercial</t>
        </is>
      </c>
      <c r="D18" s="10" t="inlineStr">
        <is>
          <t>Clientes con compra en 90 días; % nuevos, ocasionales y frecuentes</t>
        </is>
      </c>
      <c r="E18" s="10" t="inlineStr">
        <is>
          <t>n, %</t>
        </is>
      </c>
      <c r="F18" s="10" t="inlineStr">
        <is>
          <t>Ventana móvil 90 días</t>
        </is>
      </c>
      <c r="G18" s="10" t="inlineStr">
        <is>
          <t>Pedidos</t>
        </is>
      </c>
      <c r="H18" s="10" t="inlineStr">
        <is>
          <t>Semanal</t>
        </is>
      </c>
      <c r="I18" s="10" t="inlineStr">
        <is>
          <t>Jefatura</t>
        </is>
      </c>
      <c r="J18" s="10" t="inlineStr">
        <is>
          <t>[A LEVANTAR]</t>
        </is>
      </c>
      <c r="K18" s="10" t="inlineStr">
        <is>
          <t>Definir con finanzas</t>
        </is>
      </c>
      <c r="L18" s="6" t="inlineStr">
        <is>
          <t>Foco del panel de jefatura</t>
        </is>
      </c>
    </row>
    <row r="19">
      <c r="A19" s="5" t="inlineStr">
        <is>
          <t>K15</t>
        </is>
      </c>
      <c r="B19" s="10" t="inlineStr">
        <is>
          <t>Referidos convertidos</t>
        </is>
      </c>
      <c r="C19" s="10" t="inlineStr">
        <is>
          <t>Comercial</t>
        </is>
      </c>
      <c r="D19" s="10" t="inlineStr">
        <is>
          <t>Clientes nuevos con código de referido / leads referidos calificados × 100</t>
        </is>
      </c>
      <c r="E19" s="10" t="inlineStr">
        <is>
          <t>%</t>
        </is>
      </c>
      <c r="F19" s="10" t="inlineStr">
        <is>
          <t>Trimestral</t>
        </is>
      </c>
      <c r="G19" s="10" t="inlineStr">
        <is>
          <t>CRM + códigos</t>
        </is>
      </c>
      <c r="H19" s="10" t="inlineStr">
        <is>
          <t>Mensual</t>
        </is>
      </c>
      <c r="I19" s="10" t="inlineStr">
        <is>
          <t>Marketing</t>
        </is>
      </c>
      <c r="J19" s="10" t="inlineStr">
        <is>
          <t>[A LEVANTAR]</t>
        </is>
      </c>
      <c r="K19" s="10" t="inlineStr">
        <is>
          <t>Definir tras piloto</t>
        </is>
      </c>
      <c r="L19" s="6" t="inlineStr">
        <is>
          <t>Mantener o ajustar beneficio</t>
        </is>
      </c>
    </row>
    <row r="20">
      <c r="A20" s="5" t="inlineStr">
        <is>
          <t>K16</t>
        </is>
      </c>
      <c r="B20" s="10" t="inlineStr">
        <is>
          <t>OTIF</t>
        </is>
      </c>
      <c r="C20" s="10" t="inlineStr">
        <is>
          <t>Operación</t>
        </is>
      </c>
      <c r="D20" s="10" t="inlineStr">
        <is>
          <t>Pedidos completos entregados en la fecha comprometida / pedidos con fecha comprometida × 100</t>
        </is>
      </c>
      <c r="E20" s="10" t="inlineStr">
        <is>
          <t>%</t>
        </is>
      </c>
      <c r="F20" s="10" t="inlineStr">
        <is>
          <t>Semanal</t>
        </is>
      </c>
      <c r="G20" s="10" t="inlineStr">
        <is>
          <t>OMS/ERP + logística</t>
        </is>
      </c>
      <c r="H20" s="10" t="inlineStr">
        <is>
          <t>Semanal</t>
        </is>
      </c>
      <c r="I20" s="10" t="inlineStr">
        <is>
          <t>Logística</t>
        </is>
      </c>
      <c r="J20" s="10" t="inlineStr">
        <is>
          <t>[A LEVANTAR]</t>
        </is>
      </c>
      <c r="K20" s="10" t="inlineStr">
        <is>
          <t>Definir con logística</t>
        </is>
      </c>
      <c r="L20" s="6" t="inlineStr">
        <is>
          <t>Capacidad de prometer fechas</t>
        </is>
      </c>
    </row>
    <row r="21">
      <c r="A21" s="5" t="inlineStr">
        <is>
          <t>K17</t>
        </is>
      </c>
      <c r="B21" s="10" t="inlineStr">
        <is>
          <t>Lead time de despacho</t>
        </is>
      </c>
      <c r="C21" s="10" t="inlineStr">
        <is>
          <t>Operación</t>
        </is>
      </c>
      <c r="D21" s="10" t="inlineStr">
        <is>
          <t>Mediana (entrega − confirmación del pedido), por ruta y zona</t>
        </is>
      </c>
      <c r="E21" s="10" t="inlineStr">
        <is>
          <t>días</t>
        </is>
      </c>
      <c r="F21" s="10" t="inlineStr">
        <is>
          <t>Semanal</t>
        </is>
      </c>
      <c r="G21" s="10" t="inlineStr">
        <is>
          <t>OMS + transporte</t>
        </is>
      </c>
      <c r="H21" s="10" t="inlineStr">
        <is>
          <t>Semanal</t>
        </is>
      </c>
      <c r="I21" s="10" t="inlineStr">
        <is>
          <t>Logística</t>
        </is>
      </c>
      <c r="J21" s="10" t="inlineStr">
        <is>
          <t>[A LEVANTAR]</t>
        </is>
      </c>
      <c r="K21" s="10" t="inlineStr">
        <is>
          <t>Definir por zona</t>
        </is>
      </c>
      <c r="L21" s="6" t="inlineStr">
        <is>
          <t>Ventanas de ruta por zona</t>
        </is>
      </c>
    </row>
    <row r="22">
      <c r="A22" s="5" t="inlineStr">
        <is>
          <t>K18</t>
        </is>
      </c>
      <c r="B22" s="10" t="inlineStr">
        <is>
          <t>Quiebre de stock HORECA</t>
        </is>
      </c>
      <c r="C22" s="10" t="inlineStr">
        <is>
          <t>Operación</t>
        </is>
      </c>
      <c r="D22" s="10" t="inlineStr">
        <is>
          <t>SKU HORECA con stock 0 / SKU HORECA activos × 100</t>
        </is>
      </c>
      <c r="E22" s="10" t="inlineStr">
        <is>
          <t>%</t>
        </is>
      </c>
      <c r="F22" s="10" t="inlineStr">
        <is>
          <t>Diaria</t>
        </is>
      </c>
      <c r="G22" s="10" t="inlineStr">
        <is>
          <t>Inventario</t>
        </is>
      </c>
      <c r="H22" s="10" t="inlineStr">
        <is>
          <t>Diaria</t>
        </is>
      </c>
      <c r="I22" s="10" t="inlineStr">
        <is>
          <t>Logística</t>
        </is>
      </c>
      <c r="J22" s="10" t="inlineStr">
        <is>
          <t>[A LEVANTAR]</t>
        </is>
      </c>
      <c r="K22" s="10" t="inlineStr">
        <is>
          <t>Definir con inventario</t>
        </is>
      </c>
      <c r="L22" s="6" t="inlineStr">
        <is>
          <t>Sustitutos y propuesta</t>
        </is>
      </c>
    </row>
    <row r="23">
      <c r="A23" s="5" t="inlineStr">
        <is>
          <t>K19</t>
        </is>
      </c>
      <c r="B23" s="10" t="inlineStr">
        <is>
          <t>Fill rate</t>
        </is>
      </c>
      <c r="C23" s="10" t="inlineStr">
        <is>
          <t>Operación</t>
        </is>
      </c>
      <c r="D23" s="10" t="inlineStr">
        <is>
          <t>Unidades entregadas / unidades pedidas × 100</t>
        </is>
      </c>
      <c r="E23" s="10" t="inlineStr">
        <is>
          <t>%</t>
        </is>
      </c>
      <c r="F23" s="10" t="inlineStr">
        <is>
          <t>Semanal</t>
        </is>
      </c>
      <c r="G23" s="10" t="inlineStr">
        <is>
          <t>OMS</t>
        </is>
      </c>
      <c r="H23" s="10" t="inlineStr">
        <is>
          <t>Semanal</t>
        </is>
      </c>
      <c r="I23" s="10" t="inlineStr">
        <is>
          <t>Logística</t>
        </is>
      </c>
      <c r="J23" s="10" t="inlineStr">
        <is>
          <t>[A LEVANTAR]</t>
        </is>
      </c>
      <c r="K23" s="10" t="inlineStr">
        <is>
          <t>Definir con logística</t>
        </is>
      </c>
      <c r="L23" s="6" t="inlineStr">
        <is>
          <t>Exactitud de preparación</t>
        </is>
      </c>
    </row>
    <row r="24">
      <c r="A24" s="5" t="inlineStr">
        <is>
          <t>K20</t>
        </is>
      </c>
      <c r="B24" s="10" t="inlineStr">
        <is>
          <t>Costo de despacho por pedido y zona</t>
        </is>
      </c>
      <c r="C24" s="10" t="inlineStr">
        <is>
          <t>Operación</t>
        </is>
      </c>
      <c r="D24" s="10" t="inlineStr">
        <is>
          <t>Costo de ruta / pedidos entregados en esa ruta</t>
        </is>
      </c>
      <c r="E24" s="10" t="inlineStr">
        <is>
          <t>CLP</t>
        </is>
      </c>
      <c r="F24" s="10" t="inlineStr">
        <is>
          <t>Mensual</t>
        </is>
      </c>
      <c r="G24" s="10" t="inlineStr">
        <is>
          <t>Transporte + finanzas</t>
        </is>
      </c>
      <c r="H24" s="10" t="inlineStr">
        <is>
          <t>Mensual</t>
        </is>
      </c>
      <c r="I24" s="10" t="inlineStr">
        <is>
          <t>Logística / finanzas</t>
        </is>
      </c>
      <c r="J24" s="10" t="inlineStr">
        <is>
          <t>[A LEVANTAR]</t>
        </is>
      </c>
      <c r="K24" s="10" t="inlineStr">
        <is>
          <t>Definir con finanzas</t>
        </is>
      </c>
      <c r="L24" s="6" t="inlineStr">
        <is>
          <t>Calibrar potencial de zona (Financial)</t>
        </is>
      </c>
    </row>
    <row r="25">
      <c r="A25" s="5" t="inlineStr">
        <is>
          <t>K21</t>
        </is>
      </c>
      <c r="B25" s="10" t="inlineStr">
        <is>
          <t>Primera respuesta de postventa</t>
        </is>
      </c>
      <c r="C25" s="10" t="inlineStr">
        <is>
          <t>Operación</t>
        </is>
      </c>
      <c r="D25" s="10" t="inlineStr">
        <is>
          <t>Mediana (primera respuesta − creación del ticket), por criticidad</t>
        </is>
      </c>
      <c r="E25" s="10" t="inlineStr">
        <is>
          <t>h</t>
        </is>
      </c>
      <c r="F25" s="10" t="inlineStr">
        <is>
          <t>Semanal</t>
        </is>
      </c>
      <c r="G25" s="10" t="inlineStr">
        <is>
          <t>Tickets</t>
        </is>
      </c>
      <c r="H25" s="10" t="inlineStr">
        <is>
          <t>Semanal</t>
        </is>
      </c>
      <c r="I25" s="10" t="inlineStr">
        <is>
          <t>Postventa</t>
        </is>
      </c>
      <c r="J25" s="10" t="inlineStr">
        <is>
          <t>[A LEVANTAR]</t>
        </is>
      </c>
      <c r="K25" s="10" t="inlineStr">
        <is>
          <t>Definir con servicio</t>
        </is>
      </c>
      <c r="L25" s="6" t="inlineStr">
        <is>
          <t>Dotación y escalamiento</t>
        </is>
      </c>
    </row>
    <row r="26">
      <c r="A26" s="5" t="inlineStr">
        <is>
          <t>K22</t>
        </is>
      </c>
      <c r="B26" s="10" t="inlineStr">
        <is>
          <t>Éxito de tarea (test)</t>
        </is>
      </c>
      <c r="C26" s="10" t="inlineStr">
        <is>
          <t>Experiencia</t>
        </is>
      </c>
      <c r="D26" s="10" t="inlineStr">
        <is>
          <t>Tareas completadas sin ayuda / tareas intentadas × 100 (08_TEST_REGISTRO)</t>
        </is>
      </c>
      <c r="E26" s="10" t="inlineStr">
        <is>
          <t>%</t>
        </is>
      </c>
      <c r="F26" s="10" t="inlineStr">
        <is>
          <t>Por ronda de test</t>
        </is>
      </c>
      <c r="G26" s="10" t="inlineStr">
        <is>
          <t>Registro de moderación</t>
        </is>
      </c>
      <c r="H26" s="10" t="inlineStr">
        <is>
          <t>Por ronda</t>
        </is>
      </c>
      <c r="I26" s="10" t="inlineStr">
        <is>
          <t>Equipo UX</t>
        </is>
      </c>
      <c r="J26" s="10" t="inlineStr">
        <is>
          <t>Ronda 1 (15-10): sitio 33 %; CRM 50 %</t>
        </is>
      </c>
      <c r="K26" s="10" t="inlineStr">
        <is>
          <t>≥ 80 % (criterio del equipo)</t>
        </is>
      </c>
      <c r="L26" s="6" t="inlineStr">
        <is>
          <t>Corregir o mantener pantallas</t>
        </is>
      </c>
    </row>
    <row r="27">
      <c r="A27" s="5" t="inlineStr">
        <is>
          <t>K23</t>
        </is>
      </c>
      <c r="B27" s="10" t="inlineStr">
        <is>
          <t>Facilidad por tarea (SEQ)</t>
        </is>
      </c>
      <c r="C27" s="10" t="inlineStr">
        <is>
          <t>Experiencia</t>
        </is>
      </c>
      <c r="D27" s="10" t="inlineStr">
        <is>
          <t>Promedio de la pregunta única de facilidad (1–7) por tarea</t>
        </is>
      </c>
      <c r="E27" s="10" t="inlineStr">
        <is>
          <t>1–7</t>
        </is>
      </c>
      <c r="F27" s="10" t="inlineStr">
        <is>
          <t>Por ronda</t>
        </is>
      </c>
      <c r="G27" s="10" t="inlineStr">
        <is>
          <t>Registro de moderación</t>
        </is>
      </c>
      <c r="H27" s="10" t="inlineStr">
        <is>
          <t>Por ronda</t>
        </is>
      </c>
      <c r="I27" s="10" t="inlineStr">
        <is>
          <t>Equipo UX</t>
        </is>
      </c>
      <c r="J27" s="10" t="inlineStr">
        <is>
          <t>Ronda 1 (15-10): sitio 5,7; CRM 3,5</t>
        </is>
      </c>
      <c r="K27" s="10" t="inlineStr">
        <is>
          <t>≥ 5,5 (criterio del equipo)</t>
        </is>
      </c>
      <c r="L27" s="6" t="inlineStr">
        <is>
          <t>Priorizar fricciones</t>
        </is>
      </c>
    </row>
    <row r="28">
      <c r="A28" s="5" t="inlineStr">
        <is>
          <t>K24</t>
        </is>
      </c>
      <c r="B28" s="10" t="inlineStr">
        <is>
          <t>SUS</t>
        </is>
      </c>
      <c r="C28" s="10" t="inlineStr">
        <is>
          <t>Experiencia</t>
        </is>
      </c>
      <c r="D28" s="10" t="inlineStr">
        <is>
          <t>Puntaje SUS 0–100 por participante (09_SUS)</t>
        </is>
      </c>
      <c r="E28" s="10" t="inlineStr">
        <is>
          <t>0–100</t>
        </is>
      </c>
      <c r="F28" s="10" t="inlineStr">
        <is>
          <t>Por ronda</t>
        </is>
      </c>
      <c r="G28" s="10" t="inlineStr">
        <is>
          <t>Cuestionario SUS</t>
        </is>
      </c>
      <c r="H28" s="10" t="inlineStr">
        <is>
          <t>Por ronda</t>
        </is>
      </c>
      <c r="I28" s="10" t="inlineStr">
        <is>
          <t>Equipo UX</t>
        </is>
      </c>
      <c r="J28" s="10" t="inlineStr">
        <is>
          <t>Ronda 1 (15-10): clientes 61,7; equipo 40,0</t>
        </is>
      </c>
      <c r="K28" s="10" t="inlineStr">
        <is>
          <t>≥ 68 (promedio de referencia, Sauro 2011 [24])</t>
        </is>
      </c>
      <c r="L28" s="6" t="inlineStr">
        <is>
          <t>Usabilidad general</t>
        </is>
      </c>
    </row>
    <row r="29">
      <c r="A29" s="5" t="inlineStr">
        <is>
          <t>K25</t>
        </is>
      </c>
      <c r="B29" s="10" t="inlineStr">
        <is>
          <t>Días de cobro (DSO)</t>
        </is>
      </c>
      <c r="C29" s="10" t="inlineStr">
        <is>
          <t>Finanzas</t>
        </is>
      </c>
      <c r="D29" s="10" t="inlineStr">
        <is>
          <t>(Cuentas por cobrar ÷ ventas a crédito) × 365, cuentas HORECA</t>
        </is>
      </c>
      <c r="E29" s="10" t="inlineStr">
        <is>
          <t>días</t>
        </is>
      </c>
      <c r="F29" s="10" t="inlineStr">
        <is>
          <t>Mensual</t>
        </is>
      </c>
      <c r="G29" s="10" t="inlineStr">
        <is>
          <t>ERP</t>
        </is>
      </c>
      <c r="H29" s="10" t="inlineStr">
        <is>
          <t>Mensual</t>
        </is>
      </c>
      <c r="I29" s="10" t="inlineStr">
        <is>
          <t>Finanzas</t>
        </is>
      </c>
      <c r="J29" s="10" t="inlineStr">
        <is>
          <t>[A LEVANTAR]</t>
        </is>
      </c>
      <c r="K29" s="10" t="inlineStr">
        <is>
          <t>Bajar respecto de la línea base sin cambiar plazos</t>
        </is>
      </c>
      <c r="L29" s="6" t="inlineStr">
        <is>
          <t>Calidad del alta y la facturación</t>
        </is>
      </c>
    </row>
    <row r="30">
      <c r="A30" s="5" t="inlineStr">
        <is>
          <t>K26</t>
        </is>
      </c>
      <c r="B30" s="10" t="inlineStr">
        <is>
          <t>Pedidos con datos tributarios completos</t>
        </is>
      </c>
      <c r="C30" s="10" t="inlineStr">
        <is>
          <t>Finanzas</t>
        </is>
      </c>
      <c r="D30" s="10" t="inlineStr">
        <is>
          <t>Pedidos con RUT, giro, orden de compra y sucursal válidos / pedidos × 100</t>
        </is>
      </c>
      <c r="E30" s="10" t="inlineStr">
        <is>
          <t>%</t>
        </is>
      </c>
      <c r="F30" s="10" t="inlineStr">
        <is>
          <t>Semanal</t>
        </is>
      </c>
      <c r="G30" s="10" t="inlineStr">
        <is>
          <t>VTEX B2B + ERP</t>
        </is>
      </c>
      <c r="H30" s="10" t="inlineStr">
        <is>
          <t>Semanal</t>
        </is>
      </c>
      <c r="I30" s="10" t="inlineStr">
        <is>
          <t>Finanzas / ventas</t>
        </is>
      </c>
      <c r="J30" s="10" t="inlineStr">
        <is>
          <t>[A LEVANTAR]</t>
        </is>
      </c>
      <c r="K30" s="10" t="inlineStr">
        <is>
          <t>≥ 95 % (criterio del equipo)</t>
        </is>
      </c>
      <c r="L30" s="6" t="inlineStr">
        <is>
          <t>Menos facturas rechazadas o corregidas</t>
        </is>
      </c>
    </row>
    <row r="31">
      <c r="A31" s="5" t="inlineStr">
        <is>
          <t>K27</t>
        </is>
      </c>
      <c r="B31" s="10" t="inlineStr">
        <is>
          <t>Retención de clientes y NRR</t>
        </is>
      </c>
      <c r="C31" s="10" t="inlineStr">
        <is>
          <t>Comercial</t>
        </is>
      </c>
      <c r="D31" s="10" t="inlineStr">
        <is>
          <t>Clientes que siguen comprando / clientes al inicio × 100; NRR = (ingreso inicial + expansión − pérdida) ÷ ingreso inicial</t>
        </is>
      </c>
      <c r="E31" s="10" t="inlineStr">
        <is>
          <t>%</t>
        </is>
      </c>
      <c r="F31" s="10" t="inlineStr">
        <is>
          <t>Anual (cohorte)</t>
        </is>
      </c>
      <c r="G31" s="10" t="inlineStr">
        <is>
          <t>ERP + CRM</t>
        </is>
      </c>
      <c r="H31" s="10" t="inlineStr">
        <is>
          <t>Trimestral</t>
        </is>
      </c>
      <c r="I31" s="10" t="inlineStr">
        <is>
          <t>Gerencia comercial</t>
        </is>
      </c>
      <c r="J31" s="10" t="inlineStr">
        <is>
          <t>Retención 86 % (supuesto académico [3])</t>
        </is>
      </c>
      <c r="K31" s="10" t="inlineStr">
        <is>
          <t>Retención 90 % (meta académica [3]); NRR ≥ 100 %</t>
        </is>
      </c>
      <c r="L31" s="6" t="inlineStr">
        <is>
          <t>Peso de LM4, LM5 y LM6</t>
        </is>
      </c>
    </row>
    <row r="32">
      <c r="A32" s="5" t="inlineStr">
        <is>
          <t>K28</t>
        </is>
      </c>
      <c r="B32" s="10" t="inlineStr">
        <is>
          <t>LTV / CAC y recupero de CAC</t>
        </is>
      </c>
      <c r="C32" s="10" t="inlineStr">
        <is>
          <t>Finanzas</t>
        </is>
      </c>
      <c r="D32" s="10" t="inlineStr">
        <is>
          <t>LTV = contribución anual × (1 ÷ churn); recupero = CAC ÷ contribución mensual (ver 16_ECONOMIA_UNITARIA)</t>
        </is>
      </c>
      <c r="E32" s="10" t="inlineStr">
        <is>
          <t>veces, meses</t>
        </is>
      </c>
      <c r="F32" s="10" t="inlineStr">
        <is>
          <t>Por cohorte</t>
        </is>
      </c>
      <c r="G32" s="10" t="inlineStr">
        <is>
          <t>ERP + finanzas + CRM</t>
        </is>
      </c>
      <c r="H32" s="10" t="inlineStr">
        <is>
          <t>Trimestral</t>
        </is>
      </c>
      <c r="I32" s="10" t="inlineStr">
        <is>
          <t>Finanzas</t>
        </is>
      </c>
      <c r="J32" s="10" t="inlineStr">
        <is>
          <t>[A LEVANTAR]</t>
        </is>
      </c>
      <c r="K32" s="10" t="inlineStr">
        <is>
          <t>Definir con finanzas</t>
        </is>
      </c>
      <c r="L32" s="6" t="inlineStr">
        <is>
          <t>Escalar o detener el piloto</t>
        </is>
      </c>
    </row>
    <row r="33">
      <c r="A33" s="5" t="inlineStr">
        <is>
          <t>K29</t>
        </is>
      </c>
      <c r="B33" s="10" t="inlineStr">
        <is>
          <t>Integraciones automáticas</t>
        </is>
      </c>
      <c r="C33" s="10" t="inlineStr">
        <is>
          <t>Operación</t>
        </is>
      </c>
      <c r="D33" s="10" t="inlineStr">
        <is>
          <t>Fuentes y llamadas que se actualizan sin carga manual / total × 100; llamadas exitosas / llamadas por sistema</t>
        </is>
      </c>
      <c r="E33" s="10" t="inlineStr">
        <is>
          <t>%</t>
        </is>
      </c>
      <c r="F33" s="10" t="inlineStr">
        <is>
          <t>Semanal</t>
        </is>
      </c>
      <c r="G33" s="10" t="inlineStr">
        <is>
          <t>Registro de la capa de integración</t>
        </is>
      </c>
      <c r="H33" s="10" t="inlineStr">
        <is>
          <t>Semanal</t>
        </is>
      </c>
      <c r="I33" s="10" t="inlineStr">
        <is>
          <t>Datos / TI</t>
        </is>
      </c>
      <c r="J33" s="10" t="inlineStr">
        <is>
          <t>~30 % de fuentes automáticas (supuesto académico [3])</t>
        </is>
      </c>
      <c r="K33" s="10" t="inlineStr">
        <is>
          <t>Subir mes a mes en el piloto</t>
        </is>
      </c>
      <c r="L33" s="6" t="inlineStr">
        <is>
          <t>Prioridad de conexión por sistema</t>
        </is>
      </c>
    </row>
    <row r="34">
      <c r="A34" s="5" t="inlineStr">
        <is>
          <t>K30</t>
        </is>
      </c>
      <c r="B34" s="10" t="inlineStr">
        <is>
          <t>Amplitud por cuenta</t>
        </is>
      </c>
      <c r="C34" s="10" t="inlineStr">
        <is>
          <t>Comercial</t>
        </is>
      </c>
      <c r="D34" s="10" t="inlineStr">
        <is>
          <t>Categorías distintas compradas / categorías disponibles, por cuenta y período</t>
        </is>
      </c>
      <c r="E34" s="10" t="inlineStr">
        <is>
          <t>n, %</t>
        </is>
      </c>
      <c r="F34" s="10" t="inlineStr">
        <is>
          <t>Ventana móvil 90 días</t>
        </is>
      </c>
      <c r="G34" s="10" t="inlineStr">
        <is>
          <t>ERP / pedidos</t>
        </is>
      </c>
      <c r="H34" s="10" t="inlineStr">
        <is>
          <t>Mensual</t>
        </is>
      </c>
      <c r="I34" s="10" t="inlineStr">
        <is>
          <t>Gerencia comercial</t>
        </is>
      </c>
      <c r="J34" s="10" t="inlineStr">
        <is>
          <t>[A LEVANTAR con el ERP]</t>
        </is>
      </c>
      <c r="K34" s="10" t="inlineStr">
        <is>
          <t>Subir respecto de la línea base sin bajar el margen</t>
        </is>
      </c>
      <c r="L34" s="6" t="inlineStr">
        <is>
          <t>Venta cruzada (LM4) y rol de cada producto</t>
        </is>
      </c>
    </row>
    <row r="35">
      <c r="A35" s="5" t="inlineStr">
        <is>
          <t>K31</t>
        </is>
      </c>
      <c r="B35" s="10" t="inlineStr">
        <is>
          <t>Margen por cuenta</t>
        </is>
      </c>
      <c r="C35" s="10" t="inlineStr">
        <is>
          <t>Comercial</t>
        </is>
      </c>
      <c r="D35" s="10" t="inlineStr">
        <is>
          <t>Margen bruto de la cuenta / ventas de la cuenta × 100, por tipo de cliente y zona</t>
        </is>
      </c>
      <c r="E35" s="10" t="inlineStr">
        <is>
          <t>%</t>
        </is>
      </c>
      <c r="F35" s="10" t="inlineStr">
        <is>
          <t>Mensual</t>
        </is>
      </c>
      <c r="G35" s="10" t="inlineStr">
        <is>
          <t>ERP + costos</t>
        </is>
      </c>
      <c r="H35" s="10" t="inlineStr">
        <is>
          <t>Mensual</t>
        </is>
      </c>
      <c r="I35" s="10" t="inlineStr">
        <is>
          <t>Finanzas</t>
        </is>
      </c>
      <c r="J35" s="10" t="inlineStr">
        <is>
          <t>[A LEVANTAR con el ERP]</t>
        </is>
      </c>
      <c r="K35" s="10" t="inlineStr">
        <is>
          <t>Mantenerlo o subirlo al ampliar la propuesta</t>
        </is>
      </c>
      <c r="L35" s="6" t="inlineStr">
        <is>
          <t>Contenido de la propuesta básica y ampliada</t>
        </is>
      </c>
    </row>
    <row r="36">
      <c r="A36" s="7" t="inlineStr">
        <is>
          <t>K32</t>
        </is>
      </c>
      <c r="B36" s="14" t="inlineStr">
        <is>
          <t>Reposiciones manuales</t>
        </is>
      </c>
      <c r="C36" s="14" t="inlineStr">
        <is>
          <t>Recompra</t>
        </is>
      </c>
      <c r="D36" s="14" t="inlineStr">
        <is>
          <t>Reposiciones pedidas por ejecutiva, correo o mensaje / reposiciones totales × 100</t>
        </is>
      </c>
      <c r="E36" s="14" t="inlineStr">
        <is>
          <t>%</t>
        </is>
      </c>
      <c r="F36" s="14" t="inlineStr">
        <is>
          <t>Mensual</t>
        </is>
      </c>
      <c r="G36" s="14" t="inlineStr">
        <is>
          <t>CRM + pedidos</t>
        </is>
      </c>
      <c r="H36" s="14" t="inlineStr">
        <is>
          <t>Mensual</t>
        </is>
      </c>
      <c r="I36" s="14" t="inlineStr">
        <is>
          <t>Ejecutivos de cuenta</t>
        </is>
      </c>
      <c r="J36" s="14" t="inlineStr">
        <is>
          <t>82 % (supuesto académico [3])</t>
        </is>
      </c>
      <c r="K36" s="14" t="inlineStr">
        <is>
          <t>Bajarlo respecto del 82 % con la reposición en un toque</t>
        </is>
      </c>
      <c r="L36" s="8" t="inlineStr">
        <is>
          <t>W7, aviso por frecuencia y portal Mi cuenta</t>
        </is>
      </c>
    </row>
  </sheetData>
  <mergeCells count="1">
    <mergeCell ref="A2:L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3F3F40"/>
    <outlinePr summaryBelow="1" summaryRight="1"/>
    <pageSetUpPr fitToPage="1"/>
  </sheetPr>
  <dimension ref="A1:L14"/>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20" customWidth="1" min="2" max="2"/>
    <col width="22" customWidth="1" min="3" max="3"/>
    <col width="14" customWidth="1" min="4" max="4"/>
    <col width="22" customWidth="1" min="5" max="5"/>
    <col width="24" customWidth="1" min="6" max="6"/>
    <col width="10" customWidth="1" min="7" max="7"/>
    <col width="12" customWidth="1" min="8" max="8"/>
    <col width="38" customWidth="1" min="9" max="9"/>
    <col width="26" customWidth="1" min="10" max="10"/>
    <col width="8" customWidth="1" min="11" max="11"/>
    <col width="22" customWidth="1" min="12" max="12"/>
  </cols>
  <sheetData>
    <row r="1" ht="28" customHeight="1">
      <c r="A1" s="1" t="inlineStr">
        <is>
          <t>Workflows de inbound automatizado</t>
        </is>
      </c>
      <c r="B1" s="2" t="n"/>
      <c r="C1" s="2" t="n"/>
      <c r="D1" s="2" t="n"/>
      <c r="E1" s="2" t="n"/>
      <c r="F1" s="2" t="n"/>
      <c r="G1" s="2" t="n"/>
      <c r="H1" s="2" t="n"/>
      <c r="I1" s="2" t="n"/>
      <c r="J1" s="2" t="n"/>
      <c r="K1" s="2" t="n"/>
      <c r="L1" s="2" t="n"/>
    </row>
    <row r="2" ht="26" customHeight="1">
      <c r="A2" s="3" t="str">
        <v>Recorrido vigente19oct: C02 → C10 Productos → C11 Máquinas/condiciones → C03 Contacto → C04 Diagnóstico → C05 Propuesta → C06 Folio. W1 solo con correo y permiso; la cesta no crea consentimiento ni puntaje. Edición posterior exige nueva revisión; W4/W5 por correo y WhatsApp solo en postventa entrante.</v>
      </c>
    </row>
    <row r="3"/>
    <row r="4" ht="36" customHeight="1">
      <c r="A4" s="4" t="inlineStr">
        <is>
          <t>ID</t>
        </is>
      </c>
      <c r="B4" s="4" t="inlineStr">
        <is>
          <t>Nombre</t>
        </is>
      </c>
      <c r="C4" s="4" t="inlineStr">
        <is>
          <t>Segmento</t>
        </is>
      </c>
      <c r="D4" s="4" t="inlineStr">
        <is>
          <t>Etapa del funnel</t>
        </is>
      </c>
      <c r="E4" s="4" t="inlineStr">
        <is>
          <t>Gatillador (evento)</t>
        </is>
      </c>
      <c r="F4" s="4" t="inlineStr">
        <is>
          <t>Condición</t>
        </is>
      </c>
      <c r="G4" s="4" t="inlineStr">
        <is>
          <t>Espera</t>
        </is>
      </c>
      <c r="H4" s="4" t="inlineStr">
        <is>
          <t>Canal</t>
        </is>
      </c>
      <c r="I4" s="4" t="inlineStr">
        <is>
          <t>Acción y contenido</t>
        </is>
      </c>
      <c r="J4" s="4" t="inlineStr">
        <is>
          <t>Supresión / salida</t>
        </is>
      </c>
      <c r="K4" s="4" t="inlineStr">
        <is>
          <t>KPI</t>
        </is>
      </c>
      <c r="L4" s="4" t="inlineStr">
        <is>
          <t>Dónde se ve en el prototipo</t>
        </is>
      </c>
    </row>
    <row r="5" ht="62" customHeight="1">
      <c r="A5" s="5" t="inlineStr">
        <is>
          <t>W1</t>
        </is>
      </c>
      <c r="B5" s="10" t="inlineStr">
        <is>
          <t>Contacto nuevo</t>
        </is>
      </c>
      <c r="C5" s="10" t="inlineStr">
        <is>
          <t>Todos</t>
        </is>
      </c>
      <c r="D5" s="10" t="inlineStr">
        <is>
          <t>Identificación</t>
        </is>
      </c>
      <c r="E5" s="10" t="str">
        <v>Tras explorar productos (C10) y máquinas (C11), deja datos con permiso (C03, antes del diagnóstico)</v>
      </c>
      <c r="F5" s="10" t="inlineStr">
        <is>
          <t>Correo válido + permiso</t>
        </is>
      </c>
      <c r="G5" s="10" t="inlineStr">
        <is>
          <t>Inmediato</t>
        </is>
      </c>
      <c r="H5" s="10" t="inlineStr">
        <is>
          <t>Correo + CRM</t>
        </is>
      </c>
      <c r="I5" s="10" t="inlineStr">
        <is>
          <t>Correo con su N.º de seguimiento (la propuesta le llega al terminar, W2); ficha en el CRM; aviso a la ejecutiva</t>
        </is>
      </c>
      <c r="J5" s="10" t="inlineStr">
        <is>
          <t>—</t>
        </is>
      </c>
      <c r="K5" s="10" t="inlineStr">
        <is>
          <t>K02</t>
        </is>
      </c>
      <c r="L5" s="6" t="str">
        <v>C10/C11 preceden a C03; correo local y R01. Productos/cantidades y preferencia conservados hasta R02/R08.</v>
      </c>
    </row>
    <row r="6" ht="75" customHeight="1">
      <c r="A6" s="5" t="inlineStr">
        <is>
          <t>W2</t>
        </is>
      </c>
      <c r="B6" s="10" t="inlineStr">
        <is>
          <t>Calificación y zona</t>
        </is>
      </c>
      <c r="C6" s="10" t="inlineStr">
        <is>
          <t>Por tipo de negocio y comuna</t>
        </is>
      </c>
      <c r="D6" s="10" t="inlineStr">
        <is>
          <t>Evaluación</t>
        </is>
      </c>
      <c r="E6" s="10" t="inlineStr">
        <is>
          <t>Marca su negocio y su comuna (C04, pasos 1 y 2)</t>
        </is>
      </c>
      <c r="F6" s="10" t="inlineStr">
        <is>
          <t>Comuna informada</t>
        </is>
      </c>
      <c r="G6" s="10" t="inlineStr">
        <is>
          <t>Inmediato</t>
        </is>
      </c>
      <c r="H6" s="10" t="inlineStr">
        <is>
          <t>Interno</t>
        </is>
      </c>
      <c r="I6" s="10" t="inlineStr">
        <is>
          <t>Suma puntaje (A +10, B +6, C +3, R +2); asigna ejecutiva de la zona; Logística revisa ruta; al terminar, el agente arma la propuesta y se la envía por correo</t>
        </is>
      </c>
      <c r="J6" s="10" t="inlineStr">
        <is>
          <t>—</t>
        </is>
      </c>
      <c r="K6" s="10" t="inlineStr">
        <is>
          <t>K07</t>
        </is>
      </c>
      <c r="L6" s="6" t="inlineStr">
        <is>
          <t>R07 Agentes; R04</t>
        </is>
      </c>
    </row>
    <row r="7" ht="75" customHeight="1">
      <c r="A7" s="5" t="inlineStr">
        <is>
          <t>W3</t>
        </is>
      </c>
      <c r="B7" s="10" t="inlineStr">
        <is>
          <t>Propuesta aceptada o contacto humano</t>
        </is>
      </c>
      <c r="C7" s="10" t="inlineStr">
        <is>
          <t>Todos</t>
        </is>
      </c>
      <c r="D7" s="10" t="inlineStr">
        <is>
          <t>Activación</t>
        </is>
      </c>
      <c r="E7" s="10" t="inlineStr">
        <is>
          <t>Solicita revisión de su propuesta por correo (C05 → C06; si faltan datos, C03)</t>
        </is>
      </c>
      <c r="F7" s="10" t="inlineStr">
        <is>
          <t>Disponibilidad de la ejecutiva</t>
        </is>
      </c>
      <c r="G7" s="10" t="inlineStr">
        <is>
          <t>Inmediato</t>
        </is>
      </c>
      <c r="H7" s="10" t="inlineStr">
        <is>
          <t>Chat consultivo y correo comercial</t>
        </is>
      </c>
      <c r="I7" s="10" t="inlineStr">
        <is>
          <t>Solicitud registrada con folio, resumen y correo. La ejecutiva revisa condiciones y responde por correo; no confirma contrato ni instalación</t>
        </is>
      </c>
      <c r="J7" s="10" t="inlineStr">
        <is>
          <t>Sale cuando la ejecutiva responde (W6)</t>
        </is>
      </c>
      <c r="K7" s="10" t="inlineStr">
        <is>
          <t>K04, K05, K06, K09</t>
        </is>
      </c>
      <c r="L7" s="6" t="inlineStr">
        <is>
          <t>C06; R02</t>
        </is>
      </c>
    </row>
    <row r="8" ht="88" customHeight="1">
      <c r="A8" s="5" t="inlineStr">
        <is>
          <t>W4</t>
        </is>
      </c>
      <c r="B8" s="10" t="inlineStr">
        <is>
          <t>Abandono con datos</t>
        </is>
      </c>
      <c r="C8" s="10" t="inlineStr">
        <is>
          <t>Con correo y permiso (dejó sus datos al principio)</t>
        </is>
      </c>
      <c r="D8" s="10" t="inlineStr">
        <is>
          <t>Evaluación</t>
        </is>
      </c>
      <c r="E8" s="10" t="inlineStr">
        <is>
          <t>Dejó sus datos y no terminó el diagnóstico, o vio su propuesta y no la aceptó ni pidió contacto</t>
        </is>
      </c>
      <c r="F8" s="10" t="inlineStr">
        <is>
          <t>Sin actividad ni atención humana activa; permiso por finalidad; recuperación solo por correo</t>
        </is>
      </c>
      <c r="G8" s="10" t="inlineStr">
        <is>
          <t>24 h</t>
        </is>
      </c>
      <c r="H8" s="10" t="inlineStr">
        <is>
          <t>Correo + remarketing con permiso</t>
        </is>
      </c>
      <c r="I8" s="10" t="inlineStr">
        <is>
          <t>«Tu avance te espera» o «Tu propuesta te espera» con el video de su negocio (máx. 1); entra a la audiencia de remarketing (Google y Meta) con permiso</t>
        </is>
      </c>
      <c r="J8" s="10" t="inlineStr">
        <is>
          <t>Retoma, acepta o pasa a nutrición (W10)</t>
        </is>
      </c>
      <c r="K8" s="10" t="inlineStr">
        <is>
          <t>K03, K09</t>
        </is>
      </c>
      <c r="L8" s="6" t="inlineStr">
        <is>
          <t>Simulado: aviso a los 2 min sin terminar (en la realidad, 24 h)</t>
        </is>
      </c>
    </row>
    <row r="9" ht="49" customHeight="1">
      <c r="A9" s="5" t="inlineStr">
        <is>
          <t>W5</t>
        </is>
      </c>
      <c r="B9" s="10" t="inlineStr">
        <is>
          <t>Propuesta sin respuesta</t>
        </is>
      </c>
      <c r="C9" s="10" t="inlineStr">
        <is>
          <t>SQL candidato</t>
        </is>
      </c>
      <c r="D9" s="10" t="inlineStr">
        <is>
          <t>Cierre</t>
        </is>
      </c>
      <c r="E9" s="10" t="inlineStr">
        <is>
          <t>Propuesta enviada por la ejecutiva (R02 o R08)</t>
        </is>
      </c>
      <c r="F9" s="10" t="inlineStr">
        <is>
          <t>Sin aceptación</t>
        </is>
      </c>
      <c r="G9" s="10" t="inlineStr">
        <is>
          <t>72 h</t>
        </is>
      </c>
      <c r="H9" s="10" t="inlineStr">
        <is>
          <t>Correo</t>
        </is>
      </c>
      <c r="I9" s="10" t="inlineStr">
        <is>
          <t>Seguimiento de la ejecutiva con el resumen de su propuesta y los extras que marcó</t>
        </is>
      </c>
      <c r="J9" s="10" t="inlineStr">
        <is>
          <t>Acepta o cierra la secuencia</t>
        </is>
      </c>
      <c r="K9" s="10" t="inlineStr">
        <is>
          <t>K09</t>
        </is>
      </c>
      <c r="L9" s="6" t="inlineStr">
        <is>
          <t>Diseñado (no simulado)</t>
        </is>
      </c>
    </row>
    <row r="10" ht="49" customHeight="1">
      <c r="A10" s="5" t="inlineStr">
        <is>
          <t>W6</t>
        </is>
      </c>
      <c r="B10" s="10" t="inlineStr">
        <is>
          <t>Toma humana</t>
        </is>
      </c>
      <c r="C10" s="10" t="inlineStr">
        <is>
          <t>Todos</t>
        </is>
      </c>
      <c r="D10" s="10" t="inlineStr">
        <is>
          <t>Activación / cierre</t>
        </is>
      </c>
      <c r="E10" s="10" t="inlineStr">
        <is>
          <t>La ejecutiva responde por correo</t>
        </is>
      </c>
      <c r="F10" s="10" t="inlineStr">
        <is>
          <t>—</t>
        </is>
      </c>
      <c r="G10" s="10" t="inlineStr">
        <is>
          <t>Inmediato</t>
        </is>
      </c>
      <c r="H10" s="10" t="inlineStr">
        <is>
          <t>—</t>
        </is>
      </c>
      <c r="I10" s="10" t="inlineStr">
        <is>
          <t>Pausa W4, W5 y respuestas autónomas de IA; conserva contexto y responsable para no duplicar mensajes</t>
        </is>
      </c>
      <c r="J10" s="10" t="inlineStr">
        <is>
          <t>—</t>
        </is>
      </c>
      <c r="K10" s="10" t="inlineStr">
        <is>
          <t>—</t>
        </is>
      </c>
      <c r="L10" s="6" t="inlineStr">
        <is>
          <t>R02 (pausa la ejecutiva simulada)</t>
        </is>
      </c>
    </row>
    <row r="11" ht="75" customHeight="1">
      <c r="A11" s="5" t="inlineStr">
        <is>
          <t>W7</t>
        </is>
      </c>
      <c r="B11" s="10" t="inlineStr">
        <is>
          <t>Recompra</t>
        </is>
      </c>
      <c r="C11" s="10" t="inlineStr">
        <is>
          <t>Cliente activo</t>
        </is>
      </c>
      <c r="D11" s="10" t="inlineStr">
        <is>
          <t>Recompra</t>
        </is>
      </c>
      <c r="E11" s="10" t="inlineStr">
        <is>
          <t>Días sin comprar ≥ su frecuencia habitual</t>
        </is>
      </c>
      <c r="F11" s="10" t="inlineStr">
        <is>
          <t>Sin incidencia crítica</t>
        </is>
      </c>
      <c r="G11" s="10" t="inlineStr">
        <is>
          <t>Según frecuencia del cliente</t>
        </is>
      </c>
      <c r="H11" s="10" t="inlineStr">
        <is>
          <t>Portal y correo; WhatsApp solo entrante</t>
        </is>
      </c>
      <c r="I11" s="10" t="inlineStr">
        <is>
          <t>Borrador del último pedido con cantidades y dirección; cliente revisa y confirma antes de crearlo; ejecutivo resuelve excepciones y Logística confirma ruta</t>
        </is>
      </c>
      <c r="J11" s="10" t="inlineStr">
        <is>
          <t>Repite pedido o contacto</t>
        </is>
      </c>
      <c r="K11" s="10" t="inlineStr">
        <is>
          <t>K11, K12</t>
        </is>
      </c>
      <c r="L11" s="6" t="inlineStr">
        <is>
          <t>R01 Recompras; C09</t>
        </is>
      </c>
    </row>
    <row r="12" ht="36" customHeight="1">
      <c r="A12" s="5" t="inlineStr">
        <is>
          <t>W8</t>
        </is>
      </c>
      <c r="B12" s="10" t="inlineStr">
        <is>
          <t>Referidos</t>
        </is>
      </c>
      <c r="C12" s="10" t="inlineStr">
        <is>
          <t>Financial ≥ 70</t>
        </is>
      </c>
      <c r="D12" s="10" t="inlineStr">
        <is>
          <t>Recompra</t>
        </is>
      </c>
      <c r="E12" s="10" t="inlineStr">
        <is>
          <t>Cliente frecuente y satisfecho</t>
        </is>
      </c>
      <c r="F12" s="10" t="inlineStr">
        <is>
          <t>Sin incidencia crítica</t>
        </is>
      </c>
      <c r="G12" s="10" t="inlineStr">
        <is>
          <t>—</t>
        </is>
      </c>
      <c r="H12" s="10" t="inlineStr">
        <is>
          <t>Portal</t>
        </is>
      </c>
      <c r="I12" s="10" t="inlineStr">
        <is>
          <t>Invitación con código de referido; beneficio lo aprueba jefatura</t>
        </is>
      </c>
      <c r="J12" s="10" t="inlineStr">
        <is>
          <t>Referido atribuido</t>
        </is>
      </c>
      <c r="K12" s="10" t="inlineStr">
        <is>
          <t>K15</t>
        </is>
      </c>
      <c r="L12" s="6" t="inlineStr">
        <is>
          <t>C09; R07 aprobaciones</t>
        </is>
      </c>
    </row>
    <row r="13" ht="62" customHeight="1">
      <c r="A13" s="5" t="inlineStr">
        <is>
          <t>W9</t>
        </is>
      </c>
      <c r="B13" s="10" t="inlineStr">
        <is>
          <t>Incidencia crítica</t>
        </is>
      </c>
      <c r="C13" s="10" t="inlineStr">
        <is>
          <t>Cliente activo</t>
        </is>
      </c>
      <c r="D13" s="10" t="inlineStr">
        <is>
          <t>Postventa</t>
        </is>
      </c>
      <c r="E13" s="10" t="inlineStr">
        <is>
          <t>Ticket crítico abierto</t>
        </is>
      </c>
      <c r="F13" s="10" t="inlineStr">
        <is>
          <t>—</t>
        </is>
      </c>
      <c r="G13" s="10" t="inlineStr">
        <is>
          <t>Inmediato</t>
        </is>
      </c>
      <c r="H13" s="10" t="inlineStr">
        <is>
          <t>Portal/chat; WhatsApp postventa entrante</t>
        </is>
      </c>
      <c r="I13" s="10" t="inlineStr">
        <is>
          <t>Crea ticket con número, responsable y estado; pausa ampliación, campañas y referidos; traspasa a postventa con contexto</t>
        </is>
      </c>
      <c r="J13" s="10" t="inlineStr">
        <is>
          <t>Cliente confirma solución; si no, reabrir; baja de marketing se respeta</t>
        </is>
      </c>
      <c r="K13" s="10" t="inlineStr">
        <is>
          <t>K21</t>
        </is>
      </c>
      <c r="L13" s="6" t="inlineStr">
        <is>
          <t>Recorrido demostrable; integración real propuesta en hoja 23</t>
        </is>
      </c>
    </row>
    <row r="14" ht="62" customHeight="1">
      <c r="A14" s="7" t="inlineStr">
        <is>
          <t>W10</t>
        </is>
      </c>
      <c r="B14" s="14" t="inlineStr">
        <is>
          <t>Nutrición por zona</t>
        </is>
      </c>
      <c r="C14" s="14" t="inlineStr">
        <is>
          <t>Puntaje &lt; 40; zona A/B vs C/R</t>
        </is>
      </c>
      <c r="D14" s="14" t="inlineStr">
        <is>
          <t>Exploración</t>
        </is>
      </c>
      <c r="E14" s="14" t="inlineStr">
        <is>
          <t>Contacto identificado que no avanza</t>
        </is>
      </c>
      <c r="F14" s="14" t="inlineStr">
        <is>
          <t>Con permiso</t>
        </is>
      </c>
      <c r="G14" s="14" t="inlineStr">
        <is>
          <t>3, 7 y 14 días</t>
        </is>
      </c>
      <c r="H14" s="14" t="inlineStr">
        <is>
          <t>Correo</t>
        </is>
      </c>
      <c r="I14" s="14" t="inlineStr">
        <is>
          <t>A/B: guía gráfica + video del caso + invitación al diagnóstico. C/R: guía + cobertura y despacho de su zona</t>
        </is>
      </c>
      <c r="J14" s="14" t="inlineStr">
        <is>
          <t>Pide contacto o se da de baja</t>
        </is>
      </c>
      <c r="K14" s="14" t="inlineStr">
        <is>
          <t>K03, K07</t>
        </is>
      </c>
      <c r="L14" s="8" t="inlineStr">
        <is>
          <t>Diseñado (no simulado)</t>
        </is>
      </c>
    </row>
  </sheetData>
  <mergeCells count="1">
    <mergeCell ref="A2:L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3F3F40"/>
    <outlinePr summaryBelow="1" summaryRight="1"/>
    <pageSetUpPr fitToPage="1"/>
  </sheetPr>
  <dimension ref="A1:L39"/>
  <sheetViews>
    <sheetView showGridLines="0" zoomScale="90" workbookViewId="0">
      <pane ySplit="4" topLeftCell="A5" activePane="bottomLeft" state="frozen"/>
      <selection pane="bottomLeft" activeCell="A1" sqref="A1"/>
    </sheetView>
  </sheetViews>
  <sheetFormatPr baseColWidth="8" defaultRowHeight="15"/>
  <cols>
    <col width="28" customWidth="1" min="1" max="1"/>
    <col width="30" customWidth="1" min="2" max="2"/>
    <col width="52" customWidth="1" min="3" max="3"/>
    <col width="52" customWidth="1" min="4" max="4"/>
    <col width="68" customWidth="1" min="5" max="5"/>
    <col width="54" customWidth="1" min="6" max="6"/>
    <col width="58" customWidth="1" min="7" max="7"/>
    <col width="42" customWidth="1" min="8" max="8"/>
    <col width="68" customWidth="1" min="9" max="9"/>
    <col width="22" customWidth="1" min="10" max="10"/>
    <col width="58" customWidth="1" min="11" max="11"/>
    <col width="60" customWidth="1" min="12" max="12"/>
  </cols>
  <sheetData>
    <row r="1" ht="28" customHeight="1">
      <c r="A1" s="1" t="inlineStr">
        <is>
          <t>Piezas audiovisuales y gráficas por etapa del funnel</t>
        </is>
      </c>
      <c r="B1" s="2" t="n"/>
      <c r="C1" s="2" t="n"/>
      <c r="D1" s="2" t="n"/>
      <c r="E1" s="2" t="n"/>
      <c r="F1" s="2" t="n"/>
      <c r="G1" s="2" t="n"/>
      <c r="H1" s="2" t="n"/>
      <c r="I1" s="2" t="n"/>
      <c r="J1" s="2" t="n"/>
      <c r="K1" s="2" t="n"/>
      <c r="L1" s="2" t="n"/>
    </row>
    <row r="2" ht="16" customHeight="1">
      <c r="A2" s="3" t="inlineStr">
        <is>
          <t>Estado al 10-10-2026. Solo se publican piezas con información verificable y autorizada por Marley Coffee.</t>
        </is>
      </c>
    </row>
    <row r="3"/>
    <row r="4" ht="30" customHeight="1">
      <c r="A4" s="4" t="inlineStr">
        <is>
          <t>Pieza</t>
        </is>
      </c>
      <c r="B4" s="4" t="inlineStr">
        <is>
          <t>Formato</t>
        </is>
      </c>
      <c r="C4" s="4" t="inlineStr">
        <is>
          <t>Etapa</t>
        </is>
      </c>
      <c r="D4" s="4" t="inlineStr">
        <is>
          <t>Segmento</t>
        </is>
      </c>
      <c r="E4" s="4" t="inlineStr">
        <is>
          <t>Objetivo</t>
        </is>
      </c>
      <c r="F4" s="4" t="inlineStr">
        <is>
          <t>CTA</t>
        </is>
      </c>
      <c r="G4" s="4" t="inlineStr">
        <is>
          <t>Workflow</t>
        </is>
      </c>
      <c r="H4" s="4" t="inlineStr">
        <is>
          <t>Estado</t>
        </is>
      </c>
    </row>
    <row r="5" ht="23" customHeight="1">
      <c r="A5" s="5" t="inlineStr">
        <is>
          <t>Video caso hotel (8 s)</t>
        </is>
      </c>
      <c r="B5" s="10" t="inlineStr">
        <is>
          <t>Audiovisual</t>
        </is>
      </c>
      <c r="C5" s="10" t="inlineStr">
        <is>
          <t>Exploración / espera</t>
        </is>
      </c>
      <c r="D5" s="10" t="inlineStr">
        <is>
          <t>Hotel, eventos</t>
        </is>
      </c>
      <c r="E5" s="10" t="inlineStr">
        <is>
          <t>Imaginar Marley Coffee en su operación</t>
        </is>
      </c>
      <c r="F5" s="10" t="inlineStr">
        <is>
          <t>Encontrar mi solución</t>
        </is>
      </c>
      <c r="G5" s="10" t="inlineStr">
        <is>
          <t>W3, W4</t>
        </is>
      </c>
      <c r="H5" s="6" t="inlineStr">
        <is>
          <t>Producido para el MVP (Higgsfield)</t>
        </is>
      </c>
    </row>
    <row r="6" ht="36" customHeight="1">
      <c r="A6" s="5" t="inlineStr">
        <is>
          <t>Video caso restaurante (8 s)</t>
        </is>
      </c>
      <c r="B6" s="10" t="inlineStr">
        <is>
          <t>Audiovisual</t>
        </is>
      </c>
      <c r="C6" s="10" t="inlineStr">
        <is>
          <t>Exploración / espera</t>
        </is>
      </c>
      <c r="D6" s="10" t="inlineStr">
        <is>
          <t>Restaurante, cafetería</t>
        </is>
      </c>
      <c r="E6" s="10" t="inlineStr">
        <is>
          <t>Imaginar el espresso de sobremesa con la marca</t>
        </is>
      </c>
      <c r="F6" s="10" t="inlineStr">
        <is>
          <t>Encontrar mi solución</t>
        </is>
      </c>
      <c r="G6" s="10" t="inlineStr">
        <is>
          <t>W3, W4</t>
        </is>
      </c>
      <c r="H6" s="6" t="inlineStr">
        <is>
          <t>Producido para el MVP (Higgsfield)</t>
        </is>
      </c>
    </row>
    <row r="7" ht="36" customHeight="1">
      <c r="A7" s="5" t="inlineStr">
        <is>
          <t>Experiencia de casos con scroll (C08)</t>
        </is>
      </c>
      <c r="B7" s="10" t="inlineStr">
        <is>
          <t>Audiovisual interactivo</t>
        </is>
      </c>
      <c r="C7" s="10" t="inlineStr">
        <is>
          <t>Evaluación</t>
        </is>
      </c>
      <c r="D7" s="10" t="inlineStr">
        <is>
          <t>Todos</t>
        </is>
      </c>
      <c r="E7" s="10" t="inlineStr">
        <is>
          <t>Comparar formatos por tipo de negocio</t>
        </is>
      </c>
      <c r="F7" s="10" t="inlineStr">
        <is>
          <t>Encontrar mi solución</t>
        </is>
      </c>
      <c r="G7" s="10" t="inlineStr">
        <is>
          <t>—</t>
        </is>
      </c>
      <c r="H7" s="6" t="inlineStr">
        <is>
          <t>Producido en el prototipo</t>
        </is>
      </c>
    </row>
    <row r="8" ht="36" customHeight="1">
      <c r="A8" s="5" t="inlineStr">
        <is>
          <t>Fotos oficiales de producto</t>
        </is>
      </c>
      <c r="B8" s="10" t="inlineStr">
        <is>
          <t>Gráfico</t>
        </is>
      </c>
      <c r="C8" s="10" t="inlineStr">
        <is>
          <t>Evaluación</t>
        </is>
      </c>
      <c r="D8" s="10" t="inlineStr">
        <is>
          <t>Todos</t>
        </is>
      </c>
      <c r="E8" s="10" t="inlineStr">
        <is>
          <t>Mostrar el catálogo real sin precios</t>
        </is>
      </c>
      <c r="F8" s="10" t="inlineStr">
        <is>
          <t>Ver propuesta</t>
        </is>
      </c>
      <c r="G8" s="10" t="inlineStr">
        <is>
          <t>—</t>
        </is>
      </c>
      <c r="H8" s="6" t="inlineStr">
        <is>
          <t>Disponible (catálogo oficial)</t>
        </is>
      </c>
    </row>
    <row r="9" ht="36" customHeight="1">
      <c r="A9" s="5" t="inlineStr">
        <is>
          <t>Correo con la propuesta y el N.º de seguimiento</t>
        </is>
      </c>
      <c r="B9" s="10" t="inlineStr">
        <is>
          <t>Texto + marca</t>
        </is>
      </c>
      <c r="C9" s="10" t="inlineStr">
        <is>
          <t>Identificación</t>
        </is>
      </c>
      <c r="D9" s="10" t="inlineStr">
        <is>
          <t>Todos</t>
        </is>
      </c>
      <c r="E9" s="10" t="inlineStr">
        <is>
          <t>Retomar sin repetir datos</t>
        </is>
      </c>
      <c r="F9" s="10" t="inlineStr">
        <is>
          <t>Volver a mi portal</t>
        </is>
      </c>
      <c r="G9" s="10" t="inlineStr">
        <is>
          <t>W1</t>
        </is>
      </c>
      <c r="H9" s="6" t="inlineStr">
        <is>
          <t>Simulado en el prototipo</t>
        </is>
      </c>
    </row>
    <row r="10" ht="36" customHeight="1">
      <c r="A10" s="5" t="inlineStr">
        <is>
          <t>Guía gráfica «Qué datos sirven para recomendarte»</t>
        </is>
      </c>
      <c r="B10" s="10" t="inlineStr">
        <is>
          <t>Gráfico</t>
        </is>
      </c>
      <c r="C10" s="10" t="inlineStr">
        <is>
          <t>Exploración</t>
        </is>
      </c>
      <c r="D10" s="10" t="inlineStr">
        <is>
          <t>Todos</t>
        </is>
      </c>
      <c r="E10" s="10" t="inlineStr">
        <is>
          <t>Bajar la duda antes del diagnóstico</t>
        </is>
      </c>
      <c r="F10" s="10" t="inlineStr">
        <is>
          <t>Empezar diagnóstico</t>
        </is>
      </c>
      <c r="G10" s="10" t="inlineStr">
        <is>
          <t>W10</t>
        </is>
      </c>
      <c r="H10" s="6" t="inlineStr">
        <is>
          <t>Por producir</t>
        </is>
      </c>
    </row>
    <row r="11" ht="36" customHeight="1">
      <c r="A11" s="5" t="inlineStr">
        <is>
          <t>Comparador visual grano / molido / cápsulas</t>
        </is>
      </c>
      <c r="B11" s="10" t="inlineStr">
        <is>
          <t>Gráfico</t>
        </is>
      </c>
      <c r="C11" s="10" t="inlineStr">
        <is>
          <t>Evaluación</t>
        </is>
      </c>
      <c r="D11" s="10" t="inlineStr">
        <is>
          <t>Por forma de servicio</t>
        </is>
      </c>
      <c r="E11" s="10" t="inlineStr">
        <is>
          <t>Elegir formato</t>
        </is>
      </c>
      <c r="F11" s="10" t="inlineStr">
        <is>
          <t>Ver mi recomendación</t>
        </is>
      </c>
      <c r="G11" s="10" t="inlineStr">
        <is>
          <t>W4</t>
        </is>
      </c>
      <c r="H11" s="6" t="inlineStr">
        <is>
          <t>Por producir con datos aprobados</t>
        </is>
      </c>
    </row>
    <row r="12" ht="36" customHeight="1">
      <c r="A12" s="5" t="inlineStr">
        <is>
          <t>Correo «Tu propuesta te espera» con video</t>
        </is>
      </c>
      <c r="B12" s="10" t="inlineStr">
        <is>
          <t>Audiovisual + texto</t>
        </is>
      </c>
      <c r="C12" s="10" t="inlineStr">
        <is>
          <t>Evaluación</t>
        </is>
      </c>
      <c r="D12" s="10" t="inlineStr">
        <is>
          <t>Puntaje ≥ 40</t>
        </is>
      </c>
      <c r="E12" s="10" t="inlineStr">
        <is>
          <t>Recuperar a quien vio su propuesta y no la aceptó</t>
        </is>
      </c>
      <c r="F12" s="10" t="inlineStr">
        <is>
          <t>Aceptar mi propuesta</t>
        </is>
      </c>
      <c r="G12" s="10" t="inlineStr">
        <is>
          <t>W4</t>
        </is>
      </c>
      <c r="H12" s="6" t="inlineStr">
        <is>
          <t>Por producir</t>
        </is>
      </c>
    </row>
    <row r="13" ht="36" customHeight="1">
      <c r="A13" s="5" t="inlineStr">
        <is>
          <t>Clip para redes por zona (Oriente)</t>
        </is>
      </c>
      <c r="B13" s="10" t="inlineStr">
        <is>
          <t>Audiovisual</t>
        </is>
      </c>
      <c r="C13" s="10" t="inlineStr">
        <is>
          <t>Descubrimiento</t>
        </is>
      </c>
      <c r="D13" s="10" t="inlineStr">
        <is>
          <t>Zona A</t>
        </is>
      </c>
      <c r="E13" s="10" t="inlineStr">
        <is>
          <t>Atraer hoteles y restaurantes de alto ticket</t>
        </is>
      </c>
      <c r="F13" s="10" t="inlineStr">
        <is>
          <t>Empresas</t>
        </is>
      </c>
      <c r="G13" s="10" t="inlineStr">
        <is>
          <t>—</t>
        </is>
      </c>
      <c r="H13" s="6" t="inlineStr">
        <is>
          <t>Por producir</t>
        </is>
      </c>
    </row>
    <row r="14" ht="36" customHeight="1">
      <c r="A14" s="7" t="inlineStr">
        <is>
          <t>Caso real HORECA</t>
        </is>
      </c>
      <c r="B14" s="14" t="inlineStr">
        <is>
          <t>Audiovisual / gráfico</t>
        </is>
      </c>
      <c r="C14" s="14" t="inlineStr">
        <is>
          <t>Evaluación</t>
        </is>
      </c>
      <c r="D14" s="14" t="inlineStr">
        <is>
          <t>Por tipo de negocio</t>
        </is>
      </c>
      <c r="E14" s="14" t="inlineStr">
        <is>
          <t>Prueba social verificable</t>
        </is>
      </c>
      <c r="F14" s="14" t="inlineStr">
        <is>
          <t>Encontrar mi solución</t>
        </is>
      </c>
      <c r="G14" s="14" t="inlineStr">
        <is>
          <t>—</t>
        </is>
      </c>
      <c r="H14" s="8" t="inlineStr">
        <is>
          <t>Pendiente de autorización de un cliente real</t>
        </is>
      </c>
    </row>
    <row r="15" ht="23" customHeight="1"/>
    <row r="16" ht="30" customHeight="1">
      <c r="A16" s="4" t="inlineStr">
        <is>
          <t>ID</t>
        </is>
      </c>
      <c r="B16" s="4" t="inlineStr">
        <is>
          <t>Etapa del ciclo</t>
        </is>
      </c>
      <c r="C16" s="4" t="inlineStr">
        <is>
          <t>Táctica</t>
        </is>
      </c>
      <c r="D16" s="4" t="inlineStr">
        <is>
          <t>Público</t>
        </is>
      </c>
      <c r="E16" s="4" t="inlineStr">
        <is>
          <t>Acción</t>
        </is>
      </c>
      <c r="F16" s="4" t="inlineStr">
        <is>
          <t>Pieza</t>
        </is>
      </c>
      <c r="G16" s="4" t="inlineStr">
        <is>
          <t>Valor / CTA</t>
        </is>
      </c>
      <c r="H16" s="4" t="inlineStr">
        <is>
          <t>Evento y automatización</t>
        </is>
      </c>
      <c r="I16" s="4" t="inlineStr">
        <is>
          <t>Agente</t>
        </is>
      </c>
      <c r="J16" s="4" t="inlineStr">
        <is>
          <t>Indicador</t>
        </is>
      </c>
      <c r="K16" s="4" t="inlineStr">
        <is>
          <t>Medición</t>
        </is>
      </c>
      <c r="L16" s="4" t="inlineStr">
        <is>
          <t>Estado</t>
        </is>
      </c>
    </row>
    <row r="17" ht="49" customHeight="1">
      <c r="A17" s="5" t="inlineStr">
        <is>
          <t>T01</t>
        </is>
      </c>
      <c r="B17" s="10" t="inlineStr">
        <is>
          <t>Atraer</t>
        </is>
      </c>
      <c r="C17" s="10" t="inlineStr">
        <is>
          <t>SEO por intención profesional</t>
        </is>
      </c>
      <c r="D17" s="10" t="inlineStr">
        <is>
          <t>Administración de hoteles, restaurantes, cafeterías y eventos</t>
        </is>
      </c>
      <c r="E17" s="10" t="str">
        <v>Crear /empresas y páginas útiles por negocio; enlazar desde Empresas, catálogo pertinente y guías. Explicar comodato y abastecimiento mensual con respuestas propias de cada operación.</v>
      </c>
      <c r="F17" s="10" t="inlineStr">
        <is>
          <t>Páginas por negocio con una solución, comparador y preguntas frecuentes visibles.</t>
        </is>
      </c>
      <c r="G17" s="10" t="inlineStr">
        <is>
          <t>LM1</t>
        </is>
      </c>
      <c r="H17" s="10" t="inlineStr">
        <is>
          <t>visita_empresas · W1</t>
        </is>
      </c>
      <c r="I17" s="10" t="inlineStr">
        <is>
          <t>Marketing</t>
        </is>
      </c>
      <c r="J17" s="10" t="inlineStr">
        <is>
          <t>K01, K02</t>
        </is>
      </c>
      <c r="K17" s="10" t="inlineStr">
        <is>
          <t>Impresiones y clics por intención; visitas a Empresas; contacto identificado. W1 solo al guardar datos con permiso.</t>
        </is>
      </c>
      <c r="L17" s="6" t="inlineStr">
        <is>
          <t>Arquitectura propuesta para producción: /empresas y destinos por intención. Las rutas hash del HTML local son navegación de demostración.</t>
        </is>
      </c>
    </row>
    <row r="18" ht="88" customHeight="1">
      <c r="A18" s="5" t="inlineStr">
        <is>
          <t>T02</t>
        </is>
      </c>
      <c r="B18" s="10" t="inlineStr">
        <is>
          <t>Atraer</t>
        </is>
      </c>
      <c r="C18" s="10" t="inlineStr">
        <is>
          <t>SEO técnico y estructura semántica</t>
        </is>
      </c>
      <c r="D18" s="10" t="inlineStr">
        <is>
          <t>Responsable que busca una máquina para su operación</t>
        </is>
      </c>
      <c r="E18" s="10" t="inlineStr">
        <is>
          <t>Validar rastreo e indexación; corregir la referencia genérica a MiTienda.com.br observada en robots.txt, publicar sitemap de URLs públicas correctas, canonical y metadatos únicos, un H1 descriptivo y enlaces rastreables. Diseñar páginas B2B indexables desde el servidor; no depender de rutas hash del prototipo. Excluir portal/CRM del índice y protegerlos con autenticación.</t>
        </is>
      </c>
      <c r="F18" s="10" t="inlineStr">
        <is>
          <t>Mapa de URLs públicas, sitemap y control en Search Console; datos estructurados fieles al contenido visible.</t>
        </is>
      </c>
      <c r="G18" s="10" t="inlineStr">
        <is>
          <t>LM1</t>
        </is>
      </c>
      <c r="H18" s="10" t="inlineStr">
        <is>
          <t>visita_organica_empresas · W1</t>
        </is>
      </c>
      <c r="I18" s="10" t="inlineStr">
        <is>
          <t>Marketing + TI</t>
        </is>
      </c>
      <c r="J18" s="10" t="inlineStr">
        <is>
          <t>K01</t>
        </is>
      </c>
      <c r="K18" s="10" t="inlineStr">
        <is>
          <t>URLs indexables e indexadas, errores de cobertura y clics. La lectura del sitio del 15-10 confirma la referencia genérica en robots; cambios y rendimiento por validar con accesos reales.</t>
        </is>
      </c>
      <c r="L18" s="6" t="inlineStr">
        <is>
          <t>Táctica propuesta; publicación, accesos y resultados del piloto pendientes de validación.</t>
        </is>
      </c>
    </row>
    <row r="19" ht="75" customHeight="1">
      <c r="A19" s="5" t="inlineStr">
        <is>
          <t>T03</t>
        </is>
      </c>
      <c r="B19" s="10" t="inlineStr">
        <is>
          <t>Atraer</t>
        </is>
      </c>
      <c r="C19" s="10" t="inlineStr">
        <is>
          <t>SEM de búsqueda por intención</t>
        </is>
      </c>
      <c r="D19" s="10" t="inlineStr">
        <is>
          <t>Quien compara proveedores o modalidades para su negocio</t>
        </is>
      </c>
      <c r="E19" s="10" t="str">
        <v>Separar intención de abastecimiento HORECA, equipos en comodato y café por negocio. Anuncio y destino explican el servicio real; excluir ofertas de venta/arriendo de equipos no disponibles. Medir términos y calidad de contactos, sin prometer posiciones ni rentabilidad.</v>
      </c>
      <c r="F19" s="10" t="inlineStr">
        <is>
          <t>Tres grupos de búsqueda, anuncio por intención y destino por negocio/modalidad; etiquetas UTM.</t>
        </is>
      </c>
      <c r="G19" s="10" t="inlineStr">
        <is>
          <t>LM1</t>
        </is>
      </c>
      <c r="H19" s="10" t="inlineStr">
        <is>
          <t>visita_campana_empresas · W1</t>
        </is>
      </c>
      <c r="I19" s="10" t="inlineStr">
        <is>
          <t>Marketing + revisión comercial</t>
        </is>
      </c>
      <c r="J19" s="10" t="inlineStr">
        <is>
          <t>K01, K02, K08, K10</t>
        </is>
      </c>
      <c r="K19" s="10" t="inlineStr">
        <is>
          <t>Clic, costo por contacto y SQL aceptado; comparar calidad por intención y zona. Sin presupuesto ni rentabilidad supuestos.</t>
        </is>
      </c>
      <c r="L19" s="6" t="inlineStr">
        <is>
          <t>Táctica propuesta; publicación, accesos y resultados del piloto pendientes de validación.</t>
        </is>
      </c>
    </row>
    <row r="20" ht="49" customHeight="1">
      <c r="A20" s="5" t="inlineStr">
        <is>
          <t>T04</t>
        </is>
      </c>
      <c r="B20" s="10" t="inlineStr">
        <is>
          <t>Atraer</t>
        </is>
      </c>
      <c r="C20" s="10" t="inlineStr">
        <is>
          <t>Orgánico útil en LinkedIn</t>
        </is>
      </c>
      <c r="D20" s="10" t="inlineStr">
        <is>
          <t>Administradores de hotel y responsables de alimentos y bebidas</t>
        </is>
      </c>
      <c r="E20" s="10" t="inlineStr">
        <is>
          <t>Publicar carrusel de planificación del café de desayuno: turnos, volumen aproximado, capacitación y reposición. Enlazar con UTM a guía y diagnóstico de hotel; ejemplos ilustrativos rotulados.</t>
        </is>
      </c>
      <c r="F20" s="10" t="inlineStr">
        <is>
          <t>Carrusel «Qué considerar para el café de tu hotel» y guía de datos necesarios.</t>
        </is>
      </c>
      <c r="G20" s="10" t="inlineStr">
        <is>
          <t>LM1, LM3</t>
        </is>
      </c>
      <c r="H20" s="10" t="inlineStr">
        <is>
          <t>visita_linkedin_hotel · W1, W2</t>
        </is>
      </c>
      <c r="I20" s="10" t="inlineStr">
        <is>
          <t>Marketing</t>
        </is>
      </c>
      <c r="J20" s="10" t="inlineStr">
        <is>
          <t>K01, K03, K07</t>
        </is>
      </c>
      <c r="K20" s="10" t="inlineStr">
        <is>
          <t>Clic al activo, identificación, diagnóstico y MQL; no tratar alcance como venta.</t>
        </is>
      </c>
      <c r="L20" s="6" t="inlineStr">
        <is>
          <t>Táctica propuesta; publicación, accesos y resultados del piloto pendientes de validación.</t>
        </is>
      </c>
    </row>
    <row r="21" ht="62" customHeight="1">
      <c r="A21" s="5" t="inlineStr">
        <is>
          <t>T05</t>
        </is>
      </c>
      <c r="B21" s="10" t="inlineStr">
        <is>
          <t>Atraer</t>
        </is>
      </c>
      <c r="C21" s="10" t="inlineStr">
        <is>
          <t>Orgánico útil en Instagram</t>
        </is>
      </c>
      <c r="D21" s="10" t="inlineStr">
        <is>
          <t>Dueños de cafeterías/restaurantes y productores de eventos</t>
        </is>
      </c>
      <c r="E21" s="10" t="inlineStr">
        <is>
          <t>Crear clip de sobremesa o barra y carrusel grano/molido/cápsulas con criterios de elección; enlazar pieza por negocio mediante UTM. Mostrar productos oficiales e identificar escenas generadas como ilustrativas.</t>
        </is>
      </c>
      <c r="F21" s="10" t="inlineStr">
        <is>
          <t>Clip por negocio + comparador visual + destino relevante.</t>
        </is>
      </c>
      <c r="G21" s="10" t="inlineStr">
        <is>
          <t>LM1, LM3</t>
        </is>
      </c>
      <c r="H21" s="10" t="inlineStr">
        <is>
          <t>visita_instagram_negocio · W1, W2</t>
        </is>
      </c>
      <c r="I21" s="10" t="inlineStr">
        <is>
          <t>Marketing</t>
        </is>
      </c>
      <c r="J21" s="10" t="inlineStr">
        <is>
          <t>K01, K03</t>
        </is>
      </c>
      <c r="K21" s="10" t="inlineStr">
        <is>
          <t>Guardados y clics al destino; finalización del diagnóstico por pieza y negocio.</t>
        </is>
      </c>
      <c r="L21" s="6" t="inlineStr">
        <is>
          <t>Táctica propuesta; publicación, accesos y resultados del piloto pendientes de validación.</t>
        </is>
      </c>
    </row>
    <row r="22" ht="62" customHeight="1">
      <c r="A22" s="5" t="inlineStr">
        <is>
          <t>T06</t>
        </is>
      </c>
      <c r="B22" s="10" t="inlineStr">
        <is>
          <t>Atraer</t>
        </is>
      </c>
      <c r="C22" s="10" t="inlineStr">
        <is>
          <t>Activaciones, alianzas y referidos</t>
        </is>
      </c>
      <c r="D22" s="10" t="inlineStr">
        <is>
          <t>Asistentes a activaciones y negocios invitados por clientes</t>
        </is>
      </c>
      <c r="E22" s="10" t="inlineStr">
        <is>
          <t>Vincular QR de una activación y código de referido con la página pertinente; ofrecer orientación útil. Publicar casos reales solo con autorización y evidencia, sin convertir escenas de ejemplo en testimonios.</t>
        </is>
      </c>
      <c r="F22" s="10" t="inlineStr">
        <is>
          <t>QR identificado, código referido y caso autorizado cuando exista.</t>
        </is>
      </c>
      <c r="G22" s="10" t="inlineStr">
        <is>
          <t>LM1, LM7</t>
        </is>
      </c>
      <c r="H22" s="10" t="inlineStr">
        <is>
          <t>visita_activacion_o_referido · W8, W1</t>
        </is>
      </c>
      <c r="I22" s="10" t="inlineStr">
        <is>
          <t>Marketing + Postventa</t>
        </is>
      </c>
      <c r="J22" s="10" t="inlineStr">
        <is>
          <t>K01, K15</t>
        </is>
      </c>
      <c r="K22" s="10" t="inlineStr">
        <is>
          <t>Origen de activación o referido conservado hasta contacto/cliente. W8 nace del cliente que invita.</t>
        </is>
      </c>
      <c r="L22" s="6" t="inlineStr">
        <is>
          <t>Táctica propuesta; publicación, accesos y resultados del piloto pendientes de validación.</t>
        </is>
      </c>
    </row>
    <row r="23" ht="49" customHeight="1">
      <c r="A23" s="5" t="inlineStr">
        <is>
          <t>T07</t>
        </is>
      </c>
      <c r="B23" s="10" t="inlineStr">
        <is>
          <t>Interactuar</t>
        </is>
      </c>
      <c r="C23" s="10" t="inlineStr">
        <is>
          <t>Correo y diagnóstico conectados</t>
        </is>
      </c>
      <c r="D23" s="10" t="inlineStr">
        <is>
          <t>Contacto identificado por negocio, zona e intención</t>
        </is>
      </c>
      <c r="E23" s="10" t="inlineStr">
        <is>
          <t>Guardar datos con permiso, enviar número de seguimiento, conservar avance y construir propuesta al terminar; mostrar en CRM correo, canal, zona y variación del puntaje.</t>
        </is>
      </c>
      <c r="F23" s="10" t="inlineStr">
        <is>
          <t>Correo documental + diagnóstico de tres pasos + propuesta personalizada.</t>
        </is>
      </c>
      <c r="G23" s="10" t="inlineStr">
        <is>
          <t>LM2, LM3</t>
        </is>
      </c>
      <c r="H23" s="10" t="inlineStr">
        <is>
          <t>contacto_identificado / diagnostico_terminado · W1, W2</t>
        </is>
      </c>
      <c r="I23" s="10" t="inlineStr">
        <is>
          <t>Calificación + Ventas + Logística</t>
        </is>
      </c>
      <c r="J23" s="10" t="inlineStr">
        <is>
          <t>K02, K03, K07</t>
        </is>
      </c>
      <c r="K23" s="10" t="inlineStr">
        <is>
          <t>Identificación, finalización y MQL; correo aceptado/clic si el proveedor lo confirma.</t>
        </is>
      </c>
      <c r="L23" s="6" t="inlineStr">
        <is>
          <t>Táctica propuesta; publicación, accesos y resultados del piloto pendientes de validación.</t>
        </is>
      </c>
    </row>
    <row r="24" ht="62" customHeight="1">
      <c r="A24" s="5" t="inlineStr">
        <is>
          <t>T08</t>
        </is>
      </c>
      <c r="B24" s="10" t="inlineStr">
        <is>
          <t>Interactuar</t>
        </is>
      </c>
      <c r="C24" s="10" t="inlineStr">
        <is>
          <t>Recuperación y nutrición por contexto</t>
        </is>
      </c>
      <c r="D24" s="10" t="inlineStr">
        <is>
          <t>Persona que dejó avance y no volvió</t>
        </is>
      </c>
      <c r="E24" s="10" t="inlineStr">
        <is>
          <t>W4 revisa inactividad a las 24 h y hace como máximo un aviso con la pieza de su negocio; W10 nutre a puntaje &lt;40 con permiso a los 3, 7 y 14 días. Remarketing solo con permiso y exclusiones actualizadas.</t>
        </is>
      </c>
      <c r="F24" s="10" t="inlineStr">
        <is>
          <t>Correo «Tu avance/propuesta te espera», guía por zona y audiencia autorizada.</t>
        </is>
      </c>
      <c r="G24" s="10" t="inlineStr">
        <is>
          <t>LM2, LM3</t>
        </is>
      </c>
      <c r="H24" s="10" t="inlineStr">
        <is>
          <t>inactividad_24h / nutricion_programada · W4, W10, W6</t>
        </is>
      </c>
      <c r="I24" s="10" t="inlineStr">
        <is>
          <t>Marketing + Calificación</t>
        </is>
      </c>
      <c r="J24" s="10" t="inlineStr">
        <is>
          <t>K03, K07, K09</t>
        </is>
      </c>
      <c r="K24" s="10" t="inlineStr">
        <is>
          <t>Avances retomados, propuesta aceptada y bajas; pausar recuperación al retomar o ser atendido.</t>
        </is>
      </c>
      <c r="L24" s="6" t="inlineStr">
        <is>
          <t>Táctica propuesta; publicación, accesos y resultados del piloto pendientes de validación.</t>
        </is>
      </c>
    </row>
    <row r="25" ht="62" customHeight="1">
      <c r="A25" s="5" t="inlineStr">
        <is>
          <t>T09</t>
        </is>
      </c>
      <c r="B25" s="10" t="inlineStr">
        <is>
          <t>Interactuar</t>
        </is>
      </c>
      <c r="C25" s="10" t="inlineStr">
        <is>
          <t>Conversación asistida y cierre humano</t>
        </is>
      </c>
      <c r="D25" s="10" t="inlineStr">
        <is>
          <t>Quien acepta, pregunta o compara extras</t>
        </is>
      </c>
      <c r="E25" s="10" t="inlineStr">
        <is>
          <t>IA explica recomendación y prepara resumen; la ejecutiva recibe conversación, propuesta y canal. Registrar respuesta y pausar IA/secuencias; revisar seguimiento a las 72 h solo si la propuesta sigue sin respuesta.</t>
        </is>
      </c>
      <c r="F25" s="10" t="inlineStr">
        <is>
          <t>Chat consultivo y correo con una ficha y responsable; propuesta base/ampliada.</t>
        </is>
      </c>
      <c r="G25" s="10" t="inlineStr">
        <is>
          <t>LM3, LM4</t>
        </is>
      </c>
      <c r="H25" s="10" t="inlineStr">
        <is>
          <t>contacto_solicitado / propuesta_aceptada / respuesta_humana · W3, W5, W6</t>
        </is>
      </c>
      <c r="I25" s="10" t="inlineStr">
        <is>
          <t>Ventas + ejecutiva</t>
        </is>
      </c>
      <c r="J25" s="10" t="inlineStr">
        <is>
          <t>K04, K05, K06, K08, K09, K10</t>
        </is>
      </c>
      <c r="K25" s="10" t="inlineStr">
        <is>
          <t>Respuesta humana, SQL aceptado, aceptación y conversión; plazo de 5 min es hipótesis, no garantía.</t>
        </is>
      </c>
      <c r="L25" s="6" t="inlineStr">
        <is>
          <t>Táctica propuesta; publicación, accesos y resultados del piloto pendientes de validación.</t>
        </is>
      </c>
    </row>
    <row r="26" ht="49" customHeight="1">
      <c r="A26" s="5" t="inlineStr">
        <is>
          <t>T10</t>
        </is>
      </c>
      <c r="B26" s="10" t="inlineStr">
        <is>
          <t>Deleitar</t>
        </is>
      </c>
      <c r="C26" s="10" t="inlineStr">
        <is>
          <t>Reposición útil antes del quiebre</t>
        </is>
      </c>
      <c r="D26" s="10" t="inlineStr">
        <is>
          <t>Cliente activo con frecuencia conocida</t>
        </is>
      </c>
      <c r="E26" s="10" t="inlineStr">
        <is>
          <t>Preparar el último pedido según frecuencia; avisar por portal o correo. El cliente revisa y confirma; Logística valida ruta. WhatsApp solo si el cliente inicia postventa.</t>
        </is>
      </c>
      <c r="F26" s="10" t="inlineStr">
        <is>
          <t>Aviso de reposición + borrador en portal + seguimiento del pedido.</t>
        </is>
      </c>
      <c r="G26" s="10" t="inlineStr">
        <is>
          <t>LM5</t>
        </is>
      </c>
      <c r="H26" s="10" t="inlineStr">
        <is>
          <t>frecuencia_cumplida / reposicion_confirmada · W7, W9</t>
        </is>
      </c>
      <c r="I26" s="10" t="inlineStr">
        <is>
          <t>Postventa + Logística</t>
        </is>
      </c>
      <c r="J26" s="10" t="inlineStr">
        <is>
          <t>K11, K12, K16, K27</t>
        </is>
      </c>
      <c r="K26" s="10" t="inlineStr">
        <is>
          <t>Reposición digital, frecuencia y entrega completa a tiempo; no enviar promoción si hay incidencia crítica.</t>
        </is>
      </c>
      <c r="L26" s="6" t="inlineStr">
        <is>
          <t>Táctica propuesta; publicación, accesos y resultados del piloto pendientes de validación.</t>
        </is>
      </c>
    </row>
    <row r="27" ht="49" customHeight="1">
      <c r="A27" s="5" t="inlineStr">
        <is>
          <t>T11</t>
        </is>
      </c>
      <c r="B27" s="10" t="inlineStr">
        <is>
          <t>Deleitar</t>
        </is>
      </c>
      <c r="C27" s="10" t="inlineStr">
        <is>
          <t>Servicio omnicanal con pausa comercial</t>
        </is>
      </c>
      <c r="D27" s="10" t="inlineStr">
        <is>
          <t>Cliente con problema en máquina, pedido o entrega</t>
        </is>
      </c>
      <c r="E27" s="10" t="inlineStr">
        <is>
          <t>Abrir ticket con número, adjuntos opcionales, criticidad y responsable; IA consulta estado y deriva con contexto; cliente confirma solución o reabre. Pausar ampliación y campañas.</t>
        </is>
      </c>
      <c r="F27" s="10" t="inlineStr">
        <is>
          <t>Portal/chat/WhatsApp entrante → ticket único → estado y confirmación.</t>
        </is>
      </c>
      <c r="G27" s="10" t="inlineStr">
        <is>
          <t>LM5</t>
        </is>
      </c>
      <c r="H27" s="10" t="inlineStr">
        <is>
          <t>ticket_critico_abierto / incidencia_resuelta · W9, W6</t>
        </is>
      </c>
      <c r="I27" s="10" t="inlineStr">
        <is>
          <t>Postventa + Logística + ejecutiva</t>
        </is>
      </c>
      <c r="J27" s="10" t="inlineStr">
        <is>
          <t>K21, K27</t>
        </is>
      </c>
      <c r="K27" s="10" t="inlineStr">
        <is>
          <t>Primera respuesta y retención; estados verificables, sin prometer plazos no confirmados.</t>
        </is>
      </c>
      <c r="L27" s="6" t="inlineStr">
        <is>
          <t>Táctica propuesta; publicación, accesos y resultados del piloto pendientes de validación.</t>
        </is>
      </c>
    </row>
    <row r="28" ht="49" customHeight="1">
      <c r="A28" s="7" t="inlineStr">
        <is>
          <t>T12</t>
        </is>
      </c>
      <c r="B28" s="14" t="inlineStr">
        <is>
          <t>Deleitar</t>
        </is>
      </c>
      <c r="C28" s="14" t="inlineStr">
        <is>
          <t>Expansión y prueba social que alimentan la atracción</t>
        </is>
      </c>
      <c r="D28" s="14" t="inlineStr">
        <is>
          <t>Cliente satisfecho, sin incidencia crítica</t>
        </is>
      </c>
      <c r="E28" s="14" t="inlineStr">
        <is>
          <t>Recomendar tazas, material de marca o capacitación según operación; cliente elige. Invitar a referir si cumple Financial ≥70 y se aprueba beneficio; solicitar permiso antes de publicar su caso.</t>
        </is>
      </c>
      <c r="F28" s="14" t="inlineStr">
        <is>
          <t>Ampliación por necesidad, código de referido y caso documentado con permiso.</t>
        </is>
      </c>
      <c r="G28" s="14" t="inlineStr">
        <is>
          <t>LM4, LM6, LM7</t>
        </is>
      </c>
      <c r="H28" s="14" t="inlineStr">
        <is>
          <t>interes_servicio / referido_atribuido · W8, W3</t>
        </is>
      </c>
      <c r="I28" s="14" t="inlineStr">
        <is>
          <t>Postventa + Marketing + jefatura</t>
        </is>
      </c>
      <c r="J28" s="14" t="inlineStr">
        <is>
          <t>K13, K15, K27, K30, K31</t>
        </is>
      </c>
      <c r="K28" s="14" t="inlineStr">
        <is>
          <t>Ticket, amplitud, margen y referidos convertidos; contrastar calidad de origen para mejorar atracción.</t>
        </is>
      </c>
      <c r="L28" s="8" t="inlineStr">
        <is>
          <t>Táctica propuesta; publicación, accesos y resultados del piloto pendientes de validación.</t>
        </is>
      </c>
    </row>
    <row r="29" ht="23" customHeight="1"/>
    <row r="30" ht="30" customHeight="1">
      <c r="A30" s="4" t="inlineStr">
        <is>
          <t>Canal / táctica</t>
        </is>
      </c>
      <c r="B30" s="4" t="inlineStr">
        <is>
          <t>Segmento</t>
        </is>
      </c>
      <c r="C30" s="4" t="inlineStr">
        <is>
          <t>Intención o idea</t>
        </is>
      </c>
      <c r="D30" s="4" t="inlineStr">
        <is>
          <t>Destino o activo</t>
        </is>
      </c>
      <c r="E30" s="4" t="inlineStr">
        <is>
          <t>Ejemplo de pieza / estructura</t>
        </is>
      </c>
      <c r="F30" s="4" t="inlineStr">
        <is>
          <t>Valor y siguiente acción</t>
        </is>
      </c>
      <c r="G30" s="4" t="inlineStr">
        <is>
          <t>Evento y automatización</t>
        </is>
      </c>
      <c r="H30" s="4" t="inlineStr">
        <is>
          <t>Indicador</t>
        </is>
      </c>
      <c r="I30" s="4" t="inlineStr">
        <is>
          <t>Control</t>
        </is>
      </c>
    </row>
    <row r="31" ht="49" customHeight="1">
      <c r="A31" s="5" t="inlineStr">
        <is>
          <t>SEO · T01/T02</t>
        </is>
      </c>
      <c r="B31" s="10" t="inlineStr">
        <is>
          <t>Hoteles</t>
        </is>
      </c>
      <c r="C31" s="10" t="inlineStr">
        <is>
          <t>Máquina de café para hotel; café para desayuno y habitaciones</t>
        </is>
      </c>
      <c r="D31" s="10" t="inlineStr">
        <is>
          <t>/empresas/hoteles (URL propuesta)</t>
        </is>
      </c>
      <c r="E31" s="10" t="inlineStr">
        <is>
          <t>Título/H1 sobre café para hoteles; comparar Bar para desayuno y Pods para habitaciones; preguntas visibles sobre operación, sin tarifas inventadas.</t>
        </is>
      </c>
      <c r="F31" s="10" t="inlineStr">
        <is>
          <t>LM1: ver solución de su hotel → Ver mi solución</t>
        </is>
      </c>
      <c r="G31" s="10" t="inlineStr">
        <is>
          <t>visita_organica_empresas → contacto_identificado / W1; diagnóstico / W2</t>
        </is>
      </c>
      <c r="H31" s="10" t="inlineStr">
        <is>
          <t>K01 visitas; K02 identificación; K07 MQL</t>
        </is>
      </c>
      <c r="I31" s="6" t="inlineStr">
        <is>
          <t>Publicar URL indexable, canonical y enlaces; validar sitemap/Search Console. No publicar el portal ni depender del hash local.</t>
        </is>
      </c>
    </row>
    <row r="32" ht="36" customHeight="1">
      <c r="A32" s="5" t="inlineStr">
        <is>
          <t>SEO · T01/T02</t>
        </is>
      </c>
      <c r="B32" s="10" t="inlineStr">
        <is>
          <t>Restaurantes</t>
        </is>
      </c>
      <c r="C32" s="10" t="inlineStr">
        <is>
          <t>Máquina de café para restaurante; café de sobremesa</t>
        </is>
      </c>
      <c r="D32" s="10" t="inlineStr">
        <is>
          <t>/empresas/restaurantes (URL propuesta)</t>
        </is>
      </c>
      <c r="E32" s="10" t="str">
        <v>Contenido sobre servicio de sobremesa; comparar Pods sin barista y Bar con equipo; explicar comodato y abastecimiento mensual.</v>
      </c>
      <c r="F32" s="10" t="inlineStr">
        <is>
          <t>LM1: comparación útil → Ver mi solución</t>
        </is>
      </c>
      <c r="G32" s="10" t="inlineStr">
        <is>
          <t>visita_organica_empresas → W1 al dejar datos; W2 al completar negocio/comuna</t>
        </is>
      </c>
      <c r="H32" s="10" t="inlineStr">
        <is>
          <t>K01, K02, K07</t>
        </is>
      </c>
      <c r="I32" s="6" t="inlineStr">
        <is>
          <t>Vincular catálogo y guía; preguntas propias del negocio. No prometer posiciones ni resultados enriquecidos.</t>
        </is>
      </c>
    </row>
    <row r="33" ht="36" customHeight="1">
      <c r="A33" s="5" t="inlineStr">
        <is>
          <t>SEO · T01/T02</t>
        </is>
      </c>
      <c r="B33" s="10" t="inlineStr">
        <is>
          <t>Cafeterías</t>
        </is>
      </c>
      <c r="C33" s="10" t="inlineStr">
        <is>
          <t>Café en grano para cafetería; arriendo o compra de máquina profesional</t>
        </is>
      </c>
      <c r="D33" s="10" t="inlineStr">
        <is>
          <t>/empresas/cafeterias (URL propuesta)</t>
        </is>
      </c>
      <c r="E33" s="10" t="inlineStr">
        <is>
          <t>Página de barra, consumo y capacitación; explicar costo mensual frente a pago único, café y extras por separado.</t>
        </is>
      </c>
      <c r="F33" s="10" t="inlineStr">
        <is>
          <t>LM1/LM3: recomendación según operación → Ver propuesta</t>
        </is>
      </c>
      <c r="G33" s="10" t="inlineStr">
        <is>
          <t>visita_organica_empresas → W1/W2 → propuesta vista</t>
        </is>
      </c>
      <c r="H33" s="10" t="inlineStr">
        <is>
          <t>K01, K02, K07, K08</t>
        </is>
      </c>
      <c r="I33" s="6" t="inlineStr">
        <is>
          <t>Producto y disponibilidad verificados para producción; rangos académicos no se publican como oferta real.</t>
        </is>
      </c>
    </row>
    <row r="34" ht="36" customHeight="1">
      <c r="A34" s="5" t="inlineStr">
        <is>
          <t>SEO · T01/T02</t>
        </is>
      </c>
      <c r="B34" s="10" t="inlineStr">
        <is>
          <t>Eventos y catering</t>
        </is>
      </c>
      <c r="C34" s="10" t="inlineStr">
        <is>
          <t>Coffee break para empresas; servicio de café para eventos</t>
        </is>
      </c>
      <c r="D34" s="10" t="inlineStr">
        <is>
          <t>/empresas/eventos (URL propuesta)</t>
        </is>
      </c>
      <c r="E34" s="10" t="inlineStr">
        <is>
          <t>Contenido sobre volumen, duración y servicio con barista o autoservicio; condiciones y cobertura por confirmar.</t>
        </is>
      </c>
      <c r="F34" s="10" t="inlineStr">
        <is>
          <t>LM1: imaginar el servicio → Ver mi solución</t>
        </is>
      </c>
      <c r="G34" s="10" t="inlineStr">
        <is>
          <t>visita_organica_empresas → W1/W2</t>
        </is>
      </c>
      <c r="H34" s="10" t="inlineStr">
        <is>
          <t>K01, K02, K07</t>
        </is>
      </c>
      <c r="I34" s="6" t="inlineStr">
        <is>
          <t>Casos y fotografías reales solo con evidencia y permiso; rotular recreaciones del prototipo.</t>
        </is>
      </c>
    </row>
    <row r="35" ht="49" customHeight="1">
      <c r="A35" s="5" t="inlineStr">
        <is>
          <t>SEM · T03</t>
        </is>
      </c>
      <c r="B35" s="10" t="str">
        <v>Demanda de comodato</v>
      </c>
      <c r="C35" s="10" t="str">
        <v>Campaña Search Empresas / grupo Comodato</v>
      </c>
      <c r="D35" s="10" t="str">
        <v>/empresas/maquinas (URL propuesta; condiciones de comodato)</v>
      </c>
      <c r="E35" s="10" t="str">
        <v>Ejemplo propuesto: Café para tu negocio · equipo en comodato con compra mensual de insumos. Destino conecta catálogo y equipos antes de contacto. Términos por validar.</v>
      </c>
      <c r="F35" s="10" t="inlineStr">
        <is>
          <t>LM1: comparador → Ver mi solución</t>
        </is>
      </c>
      <c r="G35" s="10" t="inlineStr">
        <is>
          <t>visita_campana_empresas con UTM → W1/W2</t>
        </is>
      </c>
      <c r="H35" s="10" t="inlineStr">
        <is>
          <t>K01, K02, K07; costo por MQL y venta por levantar</t>
        </is>
      </c>
      <c r="I35" s="6" t="inlineStr">
        <is>
          <t>Presupuesto y puja sin definir. Revisar negativas de empleo, uso doméstico o búsquedas no atendibles antes de excluir; no anunciar beneficios no confirmados.</t>
        </is>
      </c>
    </row>
    <row r="36" ht="36" customHeight="1">
      <c r="A36" s="5" t="inlineStr">
        <is>
          <t>SEM · T03</t>
        </is>
      </c>
      <c r="B36" s="10" t="str">
        <v>Demanda de abastecimiento</v>
      </c>
      <c r="C36" s="10" t="str">
        <v>Campaña Search Empresas / grupo Insumos</v>
      </c>
      <c r="D36" s="10" t="str">
        <v>/empresas/productos (URL propuesta; catálogo B2B)</v>
      </c>
      <c r="E36" s="10" t="str">
        <v>Ejemplo propuesto: Café e insumos para tu negocio · arma tu abastecimiento. Precio profesional y formatos sujetos a validación; no usar precio público B2C como tarifa mayorista.</v>
      </c>
      <c r="F36" s="10" t="inlineStr">
        <is>
          <t>LM1/LM3: comparar modalidades → Ver propuesta</t>
        </is>
      </c>
      <c r="G36" s="10" t="inlineStr">
        <is>
          <t>visita_campana_empresas → W1/W2 → W3 al aceptar o pedir contacto</t>
        </is>
      </c>
      <c r="H36" s="10" t="inlineStr">
        <is>
          <t>K01, K02, K07, K09</t>
        </is>
      </c>
      <c r="I36" s="6" t="inlineStr">
        <is>
          <t>Stock, precio y condiciones reales antes de activar. No usar los montos de demostración como oferta publicitaria.</t>
        </is>
      </c>
    </row>
    <row r="37" ht="49" customHeight="1">
      <c r="A37" s="5" t="inlineStr">
        <is>
          <t>SEM · T03</t>
        </is>
      </c>
      <c r="B37" s="10" t="inlineStr">
        <is>
          <t>Café y servicios HORECA</t>
        </is>
      </c>
      <c r="C37" s="10" t="inlineStr">
        <is>
          <t>Campaña Search Empresas / grupo Café HORECA</t>
        </is>
      </c>
      <c r="D37" s="10" t="inlineStr">
        <is>
          <t>Página del negocio correspondiente (URLs propuestas)</t>
        </is>
      </c>
      <c r="E37" s="10" t="inlineStr">
        <is>
          <t>Anuncio según hotel, restaurante, cafetería o evento; consulta y destino coherentes. Términos reales y negativas se revisan en el piloto.</t>
        </is>
      </c>
      <c r="F37" s="10" t="inlineStr">
        <is>
          <t>LM1: solución de su negocio → Diagnóstico breve</t>
        </is>
      </c>
      <c r="G37" s="10" t="inlineStr">
        <is>
          <t>visita_campana_empresas → W1/W2; venta confirmada al CRM y medición autorizada</t>
        </is>
      </c>
      <c r="H37" s="10" t="inlineStr">
        <is>
          <t>K01, K02, K07, K09; atribución a venta por validar</t>
        </is>
      </c>
      <c r="I37" s="6" t="inlineStr">
        <is>
          <t>Data Manager se propone para conversiones posteriores; requiere acceso, acción de conversión y consentimiento. No se crea campaña ni gasto en esta entrega.</t>
        </is>
      </c>
    </row>
    <row r="38" ht="49" customHeight="1">
      <c r="A38" s="5" t="inlineStr">
        <is>
          <t>Orgánico · LinkedIn · T04</t>
        </is>
      </c>
      <c r="B38" s="10" t="inlineStr">
        <is>
          <t>Administración de hoteles/restaurantes</t>
        </is>
      </c>
      <c r="C38" s="10" t="inlineStr">
        <is>
          <t>Carrusel: «Qué revisar antes de elegir el café de tu local»</t>
        </is>
      </c>
      <c r="D38" s="10" t="inlineStr">
        <is>
          <t>Publicación con UTM a /empresas y página de negocio</t>
        </is>
      </c>
      <c r="E38" s="10" t="inlineStr">
        <is>
          <t>5 láminas: operación, volumen, forma de servicio, modalidad y siguiente paso. Foto de producto oficial y escena demostrativa identificada.</t>
        </is>
      </c>
      <c r="F38" s="10" t="inlineStr">
        <is>
          <t>LM1: lista útil para comparar → Ver mi solución</t>
        </is>
      </c>
      <c r="G38" s="10" t="inlineStr">
        <is>
          <t>visita_social_empresas → W1 solo al dejar contacto con permiso</t>
        </is>
      </c>
      <c r="H38" s="10" t="inlineStr">
        <is>
          <t>K01 tráfico referido; K02; K07; guardados/interacciones como apoyo</t>
        </is>
      </c>
      <c r="I38" s="6" t="inlineStr">
        <is>
          <t>Contenido educativo, sin testimonios ni mejoras cuantificadas inventadas. Llevar cada pieza al destino correspondiente.</t>
        </is>
      </c>
    </row>
    <row r="39" ht="49" customHeight="1">
      <c r="A39" s="7" t="inlineStr">
        <is>
          <t>Orgánico · Instagram · T05</t>
        </is>
      </c>
      <c r="B39" s="14" t="inlineStr">
        <is>
          <t>Operadores de cafeterías y eventos</t>
        </is>
      </c>
      <c r="C39" s="14" t="inlineStr">
        <is>
          <t>Clip breve: café servido y máquina según el contexto</t>
        </is>
      </c>
      <c r="D39" s="14" t="inlineStr">
        <is>
          <t>Video por negocio con enlace/UTM a destino propuesto</t>
        </is>
      </c>
      <c r="E39" s="14" t="inlineStr">
        <is>
          <t>Ejemplo: 12–20 s de preparación, beneficio operativo claro y cierre de una acción. Un producto protagonista y texto legible sin sonido.</t>
        </is>
      </c>
      <c r="F39" s="14" t="inlineStr">
        <is>
          <t>LM1: visualizar experiencia → Comparar solución</t>
        </is>
      </c>
      <c r="G39" s="14" t="inlineStr">
        <is>
          <t>visita_social_empresas → W1/W2; consulta por chat conserva referencia</t>
        </is>
      </c>
      <c r="H39" s="14" t="inlineStr">
        <is>
          <t>K01, K02, K07; reproducción y guardados como apoyo</t>
        </is>
      </c>
      <c r="I39" s="8" t="inlineStr">
        <is>
          <t>Mostrar equipo coherente; piezas de recreación se identifican. No presentar escenas generadas como clientes o casos de éxito reales.</t>
        </is>
      </c>
    </row>
  </sheetData>
  <mergeCells count="1">
    <mergeCell ref="A2:L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tabColor rgb="005E7E29"/>
    <outlinePr summaryBelow="1" summaryRight="1"/>
    <pageSetUpPr fitToPage="1"/>
  </sheetPr>
  <dimension ref="A1:H25"/>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14" customWidth="1" min="2" max="2"/>
    <col width="52" customWidth="1" min="3" max="3"/>
    <col width="14" customWidth="1" min="4" max="4"/>
    <col width="36" customWidth="1" min="5" max="5"/>
    <col width="24" customWidth="1" min="6" max="6"/>
    <col width="20" customWidth="1" min="7" max="7"/>
    <col width="22" customWidth="1" min="8" max="8"/>
  </cols>
  <sheetData>
    <row r="1" ht="28" customHeight="1">
      <c r="A1" s="1" t="inlineStr">
        <is>
          <t>Plan de test de usabilidad (ronda 1 realizada el 15-10-2026)</t>
        </is>
      </c>
      <c r="B1" s="2" t="n"/>
      <c r="C1" s="2" t="n"/>
      <c r="D1" s="2" t="n"/>
      <c r="E1" s="2" t="n"/>
      <c r="F1" s="2" t="n"/>
      <c r="G1" s="2" t="n"/>
      <c r="H1" s="2" t="n"/>
    </row>
    <row r="2" ht="39" customHeight="1">
      <c r="A2" s="3" t="inlineStr">
        <is>
          <t>Test moderado, pensando en voz alta, dentro del prototipo («Iniciar test»). Ronda 1: 5 participantes con código (sin nombres): P1 computador, P2 y P3 celular en el sitio (T1, con las palabras de su negocio); P4 computador (T7) y P5 celular (T9) en el CRM. Nielsen (2000) [23] recomienda 5 por ronda. Una tarea por persona: las demás quedan como recorrido de diseño. Registro automático de tiempo, toques, SEQ y SUS; mapa de calor. Ronda 2 con 2 o 3 personas después de los cambios v6 (hoja 22).</t>
        </is>
      </c>
    </row>
    <row r="3"/>
    <row r="4" ht="30" customHeight="1">
      <c r="A4" s="4" t="inlineStr">
        <is>
          <t>ID</t>
        </is>
      </c>
      <c r="B4" s="4" t="inlineStr">
        <is>
          <t>Rol</t>
        </is>
      </c>
      <c r="C4" s="4" t="inlineStr">
        <is>
          <t>Tarea (se lee al participante)</t>
        </is>
      </c>
      <c r="D4" s="4" t="inlineStr">
        <is>
          <t>Pantallas</t>
        </is>
      </c>
      <c r="E4" s="4" t="inlineStr">
        <is>
          <t>Criterio de éxito</t>
        </is>
      </c>
      <c r="F4" s="4" t="inlineStr">
        <is>
          <t>Métricas</t>
        </is>
      </c>
      <c r="G4" s="4" t="inlineStr">
        <is>
          <t>Umbral</t>
        </is>
      </c>
      <c r="H4" s="4" t="inlineStr">
        <is>
          <t>Ronda 1 (15-10)</t>
        </is>
      </c>
    </row>
    <row r="5">
      <c r="A5" s="5" t="inlineStr">
        <is>
          <t>T1</t>
        </is>
      </c>
      <c r="B5" s="10" t="inlineStr">
        <is>
          <t>Cliente</t>
        </is>
      </c>
      <c r="C5" s="10" t="inlineStr">
        <is>
          <t>Tienes un hotel (o restaurante, cafetería, eventos) y quieres cambiar el café. Desde esta página, busca cómo pedir una propuesta para tu negocio.</t>
        </is>
      </c>
      <c r="D5" s="10" t="inlineStr">
        <is>
          <t>C01 → C02 (LM1)</t>
        </is>
      </c>
      <c r="E5" s="10" t="inlineStr">
        <is>
          <t>Llega a la propuesta sin ayuda</t>
        </is>
      </c>
      <c r="F5" s="10" t="inlineStr">
        <is>
          <t>Éxito, tiempo por etapa, toques, SEQ</t>
        </is>
      </c>
      <c r="G5" s="10" t="inlineStr">
        <is>
          <t>≥ 80 % sin ayuda</t>
        </is>
      </c>
      <c r="H5" s="6" t="inlineStr">
        <is>
          <t>Medida: P1, P2 y P3</t>
        </is>
      </c>
    </row>
    <row r="6">
      <c r="A6" s="5" t="inlineStr">
        <is>
          <t>T2</t>
        </is>
      </c>
      <c r="B6" s="10" t="inlineStr">
        <is>
          <t>Cliente</t>
        </is>
      </c>
      <c r="C6" s="10" t="inlineStr">
        <is>
          <t>Deja tus datos, marca tu negocio y mira tu propuesta. No sabes cuántas tazas sirves al día.</t>
        </is>
      </c>
      <c r="D6" s="10" t="inlineStr">
        <is>
          <t>C03 → C04 → C05 (LM2, LM3)</t>
        </is>
      </c>
      <c r="E6" s="10" t="inlineStr">
        <is>
          <t>Deja sus datos, termina los 3 pasos y ve su propuesta</t>
        </is>
      </c>
      <c r="F6" s="10" t="inlineStr">
        <is>
          <t>Éxito, tiempo en los datos, toques, SEQ</t>
        </is>
      </c>
      <c r="G6" s="10" t="inlineStr">
        <is>
          <t>≥ 80 %; datos ≤ 30 s; pasos ≤ 25 s y ≤ 8 toques</t>
        </is>
      </c>
      <c r="H6" s="6" t="inlineStr">
        <is>
          <t>Recorrido de diseño (dentro de T1)</t>
        </is>
      </c>
    </row>
    <row r="7">
      <c r="A7" s="5" t="inlineStr">
        <is>
          <t>T3</t>
        </is>
      </c>
      <c r="B7" s="10" t="inlineStr">
        <is>
          <t>Cliente</t>
        </is>
      </c>
      <c r="C7" s="10" t="inlineStr">
        <is>
          <t>Acepta tu propuesta o pide hablar con una persona, y cuéntale al moderador qué pasará después.</t>
        </is>
      </c>
      <c r="D7" s="10" t="inlineStr">
        <is>
          <t>C05 → C06 (LM4)</t>
        </is>
      </c>
      <c r="E7" s="10" t="inlineStr">
        <is>
          <t>Acepta o pide hablar sin que le vuelvan a pedir sus datos, y describe el siguiente paso</t>
        </is>
      </c>
      <c r="F7" s="10" t="inlineStr">
        <is>
          <t>Éxito, comprensión</t>
        </is>
      </c>
      <c r="G7" s="10" t="inlineStr">
        <is>
          <t>≥ 80 %</t>
        </is>
      </c>
      <c r="H7" s="6" t="inlineStr">
        <is>
          <t>Recorrido de diseño (dentro de T1)</t>
        </is>
      </c>
    </row>
    <row r="8">
      <c r="A8" s="5" t="inlineStr">
        <is>
          <t>T4</t>
        </is>
      </c>
      <c r="B8" s="10" t="inlineStr">
        <is>
          <t>Cliente</t>
        </is>
      </c>
      <c r="C8" s="10" t="inlineStr">
        <is>
          <t>En tu portal, pregunta si tienen tazas con la marca. Después, cambia la forma de contacto por otra.</t>
        </is>
      </c>
      <c r="D8" s="10" t="inlineStr">
        <is>
          <t>C06 (LM4)</t>
        </is>
      </c>
      <c r="E8" s="10" t="inlineStr">
        <is>
          <t>Envía el mensaje y cambia de canal sin perder la conversación</t>
        </is>
      </c>
      <c r="F8" s="10" t="inlineStr">
        <is>
          <t>Éxito, errores, SEQ</t>
        </is>
      </c>
      <c r="G8" s="10" t="inlineStr">
        <is>
          <t>≥ 80 %</t>
        </is>
      </c>
      <c r="H8" s="6" t="inlineStr">
        <is>
          <t>Recorrido de diseño (no medida)</t>
        </is>
      </c>
    </row>
    <row r="9">
      <c r="A9" s="5" t="inlineStr">
        <is>
          <t>T5</t>
        </is>
      </c>
      <c r="B9" s="10" t="inlineStr">
        <is>
          <t>Cliente</t>
        </is>
      </c>
      <c r="C9" s="10" t="inlineStr">
        <is>
          <t>Ajusta tu propuesta para que incluya tazas Marley Coffee y acéptala.</t>
        </is>
      </c>
      <c r="D9" s="10" t="inlineStr">
        <is>
          <t>C05 → C07 (LM4)</t>
        </is>
      </c>
      <c r="E9" s="10" t="inlineStr">
        <is>
          <t>Acepta la ampliada</t>
        </is>
      </c>
      <c r="F9" s="10" t="inlineStr">
        <is>
          <t>Éxito, tiempo en la propuesta</t>
        </is>
      </c>
      <c r="G9" s="10" t="inlineStr">
        <is>
          <t>≥ 80 %; ≤ 30 s</t>
        </is>
      </c>
      <c r="H9" s="6" t="inlineStr">
        <is>
          <t>Recorrido de diseño (dentro de T1)</t>
        </is>
      </c>
    </row>
    <row r="10">
      <c r="A10" s="5" t="inlineStr">
        <is>
          <t>T6</t>
        </is>
      </c>
      <c r="B10" s="10" t="inlineStr">
        <is>
          <t>Cliente activo</t>
        </is>
      </c>
      <c r="C10" s="10" t="inlineStr">
        <is>
          <t>Ahora imagina que ya eres cliente de Marley Coffee. Pide lo mismo que la última vez.</t>
        </is>
      </c>
      <c r="D10" s="10" t="inlineStr">
        <is>
          <t>C09 (LM5)</t>
        </is>
      </c>
      <c r="E10" s="10" t="inlineStr">
        <is>
          <t>Usa «Repetir último pedido»</t>
        </is>
      </c>
      <c r="F10" s="10" t="inlineStr">
        <is>
          <t>Éxito, tiempo, clics</t>
        </is>
      </c>
      <c r="G10" s="10" t="inlineStr">
        <is>
          <t>≥ 80 %</t>
        </is>
      </c>
      <c r="H10" s="6" t="inlineStr">
        <is>
          <t>Recorrido de diseño (no medida)</t>
        </is>
      </c>
    </row>
    <row r="11">
      <c r="A11" s="5" t="inlineStr">
        <is>
          <t>T7</t>
        </is>
      </c>
      <c r="B11" s="10" t="inlineStr">
        <is>
          <t>Ejecutiva</t>
        </is>
      </c>
      <c r="C11" s="10" t="inlineStr">
        <is>
          <t>Eres ejecutiva de Marley Coffee: ingresa al CRM con tu cuenta. Un cliente te está esperando en el chat. Atiéndelo y respóndele.</t>
        </is>
      </c>
      <c r="D11" s="10" t="inlineStr">
        <is>
          <t>R00 → R01 → R02</t>
        </is>
      </c>
      <c r="E11" s="10" t="inlineStr">
        <is>
          <t>Toma la conversación y responde (o envía la propuesta sugerida)</t>
        </is>
      </c>
      <c r="F11" s="10" t="inlineStr">
        <is>
          <t>Éxito, tiempo, SEQ</t>
        </is>
      </c>
      <c r="G11" s="10" t="inlineStr">
        <is>
          <t>≥ 80 %; ≤ 60 s</t>
        </is>
      </c>
      <c r="H11" s="6" t="inlineStr">
        <is>
          <t>Medida: P4</t>
        </is>
      </c>
    </row>
    <row r="12">
      <c r="A12" s="5" t="inlineStr">
        <is>
          <t>T8</t>
        </is>
      </c>
      <c r="B12" s="10" t="inlineStr">
        <is>
          <t>Ejecutiva</t>
        </is>
      </c>
      <c r="C12" s="10" t="inlineStr">
        <is>
          <t>Averigua cada cuánto compra el Hotel Mirador Andino y cuánto gasta en promedio. Dile la respuesta al moderador.</t>
        </is>
      </c>
      <c r="D12" s="10" t="inlineStr">
        <is>
          <t>R03 → R04</t>
        </is>
      </c>
      <c r="E12" s="10" t="inlineStr">
        <is>
          <t>Responde frecuencia y ticket promedio</t>
        </is>
      </c>
      <c r="F12" s="10" t="inlineStr">
        <is>
          <t>Éxito, tiempo</t>
        </is>
      </c>
      <c r="G12" s="10" t="inlineStr">
        <is>
          <t>≥ 80 %</t>
        </is>
      </c>
      <c r="H12" s="6" t="inlineStr">
        <is>
          <t>Recorrido de diseño (no medida)</t>
        </is>
      </c>
    </row>
    <row r="13">
      <c r="A13" s="7" t="inlineStr">
        <is>
          <t>T9</t>
        </is>
      </c>
      <c r="B13" s="14" t="inlineStr">
        <is>
          <t>Jefatura</t>
        </is>
      </c>
      <c r="C13" s="14" t="inlineStr">
        <is>
          <t>Eres jefatura: ingresa al CRM con tu cuenta. ¿Cuántos clientes están comprando y cuántos SQL hay? ¿Qué zona trae más MQL? Dile la respuesta al moderador.</t>
        </is>
      </c>
      <c r="D13" s="14" t="inlineStr">
        <is>
          <t>R00 → R05 / R06</t>
        </is>
      </c>
      <c r="E13" s="14" t="inlineStr">
        <is>
          <t>Responde los tres datos</t>
        </is>
      </c>
      <c r="F13" s="14" t="inlineStr">
        <is>
          <t>Éxito, tiempo, SEQ</t>
        </is>
      </c>
      <c r="G13" s="14" t="inlineStr">
        <is>
          <t>≥ 80 %; ≤ 45 s</t>
        </is>
      </c>
      <c r="H13" s="8" t="inlineStr">
        <is>
          <t>Medida: P5</t>
        </is>
      </c>
    </row>
    <row r="14"/>
    <row r="15">
      <c r="A15" s="20" t="inlineStr">
        <is>
          <t>Severidad (Nielsen 1994 [22]): 0 no es problema · 1 cosmético · 2 menor · 3 mayor · 4 catástrofe (corregir antes de lanzar). Se califica por frecuencia, impacto y persistencia.</t>
        </is>
      </c>
    </row>
    <row r="16"/>
    <row r="17" ht="18" customHeight="1">
      <c r="A17" s="33" t="inlineStr">
        <is>
          <t>Guion de moderación (25 a 40 min)</t>
        </is>
      </c>
      <c r="C17" s="34" t="inlineStr"/>
    </row>
    <row r="18" ht="48" customHeight="1">
      <c r="A18" s="34" t="inlineStr">
        <is>
          <t>0. Participantes y equipos</t>
        </is>
      </c>
      <c r="C18" s="34" t="inlineStr">
        <is>
          <t>Ronda 1 (15-10-2026): P1 computador, P2 y P3 celular en el sitio (T1); P4 computador (T7) y P5 celular (T9) en el CRM. El perfil se elige al empezar y la tarea se cuenta con las palabras de su negocio. Moderador con la guía Guia_Test_Usabilidad.html y el servidor del kit (Iniciar_test.bat): sin el servidor solo queda el PDF (así pasó en la ronda 1).</t>
        </is>
      </c>
    </row>
    <row r="19" ht="48" customHeight="1">
      <c r="A19" s="34" t="inlineStr">
        <is>
          <t>1. Bienvenida (2 min)</t>
        </is>
      </c>
      <c r="C19" s="34" t="inlineStr">
        <is>
          <t>«Gracias por ayudarnos. Vamos a probar un sitio en construcción, no a ti: no hay respuestas correctas. Piensa en voz alta: cuéntanos qué miras, qué esperas y qué te confunde. Te grabaremos solo con tu permiso.» Firmar consentimiento (Instrumentos_Terreno/E_CONSENTIMIENTO).</t>
        </is>
      </c>
    </row>
    <row r="20" ht="48" customHeight="1">
      <c r="A20" s="34" t="inlineStr">
        <is>
          <t>2. Contexto (3 min)</t>
        </is>
      </c>
      <c r="C20" s="34" t="inlineStr">
        <is>
          <t>¿Qué tipo de negocio tienes o administras? ¿Cómo compran hoy el café y cómo lo reponen? ¿Con quién hablan cuando necesitan algo del proveedor?</t>
        </is>
      </c>
    </row>
    <row r="21" ht="48" customHeight="1">
      <c r="A21" s="34" t="inlineStr">
        <is>
          <t>3. Tarea (5 a 10 min)</t>
        </is>
      </c>
      <c r="C21" s="34" t="inlineStr">
        <is>
          <t>Una tarea por persona. El prototipo la muestra tal cual (columna C) y mide el tiempo por etapa, los toques y los toques sin respuesta. No mostrar dónde tocar. Si pasan 2 minutos sin avance o pide ayuda, ofrecer una pista y marcar éxito 0,5. Al terminar pregunta el SEQ (1 a 7). El informe PDF trae los tiempos por etapa y el mapa de calor; los CSV van a 08_TEST_REGISTRO.</t>
        </is>
      </c>
    </row>
    <row r="22" ht="48" customHeight="1">
      <c r="A22" s="34" t="inlineStr">
        <is>
          <t>4. Cierre (5 min)</t>
        </is>
      </c>
      <c r="C22" s="34" t="inlineStr">
        <is>
          <t>Cuestionario SUS (09_SUS). Preguntas: ¿Qué fue lo más útil? ¿Qué te hizo dudar? ¿Preferirías chat, llamada o correo, y por qué? ¿Qué te faltó para decidir?</t>
        </is>
      </c>
    </row>
    <row r="23" ht="48" customHeight="1">
      <c r="A23" s="34" t="inlineStr">
        <is>
          <t>5. Después de la sesión</t>
        </is>
      </c>
      <c r="C23" s="34" t="inlineStr">
        <is>
          <t>Pasar cada fricción a 10_HALLAZGOS con frecuencia, impacto, persistencia y severidad 0–4. Separar cita textual, observación e interpretación. No completar con supuestos lo que no se observó.</t>
        </is>
      </c>
    </row>
    <row r="24" ht="48" customHeight="1">
      <c r="A24" s="34" t="inlineStr">
        <is>
          <t>Equipo comercial (T7–T9)</t>
        </is>
      </c>
      <c r="C24" s="34" t="inlineStr">
        <is>
          <t>Con P1 en computador: abrir test_crm.html y seguir T7 a T9 igual. Preguntar al final: ¿qué dato te falta para atender mejor?</t>
        </is>
      </c>
    </row>
    <row r="25" ht="48" customHeight="1">
      <c r="A25" s="34" t="inlineStr">
        <is>
          <t>Lead magnets</t>
        </is>
      </c>
      <c r="C25" s="34" t="inlineStr">
        <is>
          <t>Observar si el participante lee el recuadro «Lo que recibes» antes de cada paso (LM1 a LM5) y preguntar al final: ¿qué te hizo seguir? ¿Qué esperabas recibir? Registrar citas en 10_HALLAZGOS.</t>
        </is>
      </c>
    </row>
  </sheetData>
  <mergeCells count="1">
    <mergeCell ref="A2:H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5E7E29"/>
    <outlinePr summaryBelow="1" summaryRight="1"/>
    <pageSetUpPr fitToPage="1"/>
  </sheetPr>
  <dimension ref="A1:P19"/>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0" customWidth="1" min="2" max="2"/>
    <col width="12" customWidth="1" min="3" max="3"/>
    <col width="8" customWidth="1" min="4" max="4"/>
    <col width="11" customWidth="1" min="5" max="5"/>
    <col width="10" customWidth="1" min="6" max="6"/>
    <col width="10" customWidth="1" min="7" max="7"/>
    <col width="9" customWidth="1" min="8" max="8"/>
    <col width="8" customWidth="1" min="9" max="9"/>
    <col width="10" customWidth="1" min="10" max="10"/>
    <col width="10" customWidth="1" min="11" max="11"/>
    <col width="11" customWidth="1" min="12" max="12"/>
    <col width="11" customWidth="1" min="13" max="13"/>
    <col width="18" customWidth="1" min="14" max="14"/>
    <col width="8" customWidth="1" min="15" max="15"/>
    <col width="70" customWidth="1" min="16" max="16"/>
  </cols>
  <sheetData>
    <row r="1" ht="28" customHeight="1">
      <c r="A1" s="1" t="inlineStr">
        <is>
          <t>Registro por participante y tarea · ronda 1 (15-10-2026)</t>
        </is>
      </c>
      <c r="B1" s="2" t="n"/>
      <c r="C1" s="2" t="n"/>
      <c r="D1" s="2" t="n"/>
      <c r="E1" s="2" t="n"/>
      <c r="F1" s="2" t="n"/>
      <c r="G1" s="2" t="n"/>
      <c r="H1" s="2" t="n"/>
      <c r="I1" s="2" t="n"/>
      <c r="J1" s="2" t="n"/>
      <c r="K1" s="2" t="n"/>
      <c r="L1" s="2" t="n"/>
      <c r="M1" s="2" t="n"/>
      <c r="N1" s="2" t="n"/>
      <c r="O1" s="2" t="n"/>
      <c r="P1" s="2" t="n"/>
    </row>
    <row r="2" ht="26" customHeight="1">
      <c r="A2" s="3" t="inlineStr">
        <is>
          <t>Éxito: 1 = sin ayuda · 0,5 = con ayuda · 0 = no logra. Tiempo en segundos. SEQ 1 (muy difícil) a 7 (muy fácil). Fuente: informes PDF del test integrado, 15-10-2026, 00:07 a 01:01. Participantes con código, sin nombres. En blanco = no registrado (sin el servidor del kit no se guardaron los CSV).</t>
        </is>
      </c>
    </row>
    <row r="3"/>
    <row r="4" ht="30" customHeight="1">
      <c r="A4" s="4" t="inlineStr">
        <is>
          <t>Participante</t>
        </is>
      </c>
      <c r="B4" s="4" t="inlineStr">
        <is>
          <t>Perfil / rol</t>
        </is>
      </c>
      <c r="C4" s="4" t="inlineStr">
        <is>
          <t>Dispositivo</t>
        </is>
      </c>
      <c r="D4" s="4" t="inlineStr">
        <is>
          <t>Tarea</t>
        </is>
      </c>
      <c r="E4" s="4" t="inlineStr">
        <is>
          <t>Éxito (1 / 0,5 / 0)</t>
        </is>
      </c>
      <c r="F4" s="4" t="inlineStr">
        <is>
          <t>Tiempo (s)</t>
        </is>
      </c>
      <c r="G4" s="4" t="inlineStr">
        <is>
          <t>Pidió ayuda (1/0)</t>
        </is>
      </c>
      <c r="H4" s="4" t="inlineStr">
        <is>
          <t>SEQ (1–7)</t>
        </is>
      </c>
      <c r="I4" s="4" t="inlineStr">
        <is>
          <t>Toques</t>
        </is>
      </c>
      <c r="J4" s="4" t="inlineStr">
        <is>
          <t>Toques sin respuesta</t>
        </is>
      </c>
      <c r="K4" s="4" t="inlineStr">
        <is>
          <t>Primera acción (s)</t>
        </is>
      </c>
      <c r="L4" s="4" t="inlineStr">
        <is>
          <t>Hasta Empresas (s)</t>
        </is>
      </c>
      <c r="M4" s="4" t="inlineStr">
        <is>
          <t>Pausa más larga (s)</t>
        </is>
      </c>
      <c r="N4" s="4" t="inlineStr">
        <is>
          <t>Pantalla con más tiempo</t>
        </is>
      </c>
      <c r="O4" s="4" t="inlineStr">
        <is>
          <t>SUS</t>
        </is>
      </c>
      <c r="P4" s="4" t="inlineStr">
        <is>
          <t>Nota del moderador (resumen)</t>
        </is>
      </c>
    </row>
    <row r="5">
      <c r="A5" s="5" t="inlineStr">
        <is>
          <t>P1</t>
        </is>
      </c>
      <c r="B5" s="10" t="inlineStr">
        <is>
          <t>Cliente · Hotel</t>
        </is>
      </c>
      <c r="C5" s="10" t="inlineStr">
        <is>
          <t>Computador</t>
        </is>
      </c>
      <c r="D5" s="10" t="inlineStr">
        <is>
          <t>T1</t>
        </is>
      </c>
      <c r="E5" s="10" t="n">
        <v>0.5</v>
      </c>
      <c r="F5" s="10" t="n">
        <v>230.6</v>
      </c>
      <c r="G5" s="10" t="n">
        <v>1</v>
      </c>
      <c r="H5" s="10" t="n">
        <v>5</v>
      </c>
      <c r="I5" s="10" t="n">
        <v>29</v>
      </c>
      <c r="J5" s="10" t="n">
        <v>0</v>
      </c>
      <c r="K5" s="10" t="n">
        <v>10.2</v>
      </c>
      <c r="L5" s="10" t="n">
        <v>10.2</v>
      </c>
      <c r="M5" s="10" t="n">
        <v>21.4</v>
      </c>
      <c r="N5" s="10" t="inlineStr">
        <is>
          <t>C03 (47,6 s)</t>
        </is>
      </c>
      <c r="O5" s="10" t="n">
        <v>60</v>
      </c>
      <c r="P5" s="6" t="inlineStr">
        <is>
          <t>Le gustó el sitio y cómo interactuaban los videos. Se perdió después del formulario y del primer cuestionario: quería elegir la modalidad antes de que le dieran la propuesta.</t>
        </is>
      </c>
    </row>
    <row r="6">
      <c r="A6" s="5" t="inlineStr">
        <is>
          <t>P2</t>
        </is>
      </c>
      <c r="B6" s="10" t="inlineStr">
        <is>
          <t>Cliente · Restaurante</t>
        </is>
      </c>
      <c r="C6" s="10" t="inlineStr">
        <is>
          <t>Celular</t>
        </is>
      </c>
      <c r="D6" s="10" t="inlineStr">
        <is>
          <t>T1</t>
        </is>
      </c>
      <c r="E6" s="10" t="n">
        <v>0.5</v>
      </c>
      <c r="F6" s="10" t="n">
        <v>196.2</v>
      </c>
      <c r="G6" s="10" t="n">
        <v>1</v>
      </c>
      <c r="H6" s="10" t="n">
        <v>6</v>
      </c>
      <c r="I6" s="10" t="n">
        <v>31</v>
      </c>
      <c r="J6" s="10" t="n">
        <v>2</v>
      </c>
      <c r="K6" s="10" t="n">
        <v>12.2</v>
      </c>
      <c r="L6" s="10" t="n">
        <v>15.5</v>
      </c>
      <c r="M6" s="10" t="n">
        <v>15.5</v>
      </c>
      <c r="N6" s="10" t="inlineStr">
        <is>
          <t>C03 (44,4 s)</t>
        </is>
      </c>
      <c r="O6" s="10" t="n">
        <v>60</v>
      </c>
      <c r="P6" s="6" t="inlineStr">
        <is>
          <t>No encontraba el menú (necesitó ayuda). Al pasar de pantalla en celular la vista no subía. Al terminar no supo qué hacer: faltó un aviso de que llegaría la propuesta. Preguntas largas; «faltaba un botón que seleccionara todo». 3 escenas en la portada eran muchas.</t>
        </is>
      </c>
    </row>
    <row r="7">
      <c r="A7" s="5" t="inlineStr">
        <is>
          <t>P3</t>
        </is>
      </c>
      <c r="B7" s="10" t="inlineStr">
        <is>
          <t>Cliente · Cafetería</t>
        </is>
      </c>
      <c r="C7" s="10" t="inlineStr">
        <is>
          <t>Celular</t>
        </is>
      </c>
      <c r="D7" s="10" t="inlineStr">
        <is>
          <t>T1</t>
        </is>
      </c>
      <c r="E7" s="10" t="n">
        <v>1</v>
      </c>
      <c r="F7" s="10" t="n">
        <v>186.5</v>
      </c>
      <c r="G7" s="10" t="n">
        <v>0</v>
      </c>
      <c r="H7" s="10" t="n">
        <v>6</v>
      </c>
      <c r="I7" s="10" t="n">
        <v>31</v>
      </c>
      <c r="J7" s="10" t="n">
        <v>3</v>
      </c>
      <c r="K7" s="10" t="n">
        <v>6.7</v>
      </c>
      <c r="L7" s="10" t="n">
        <v>9.300000000000001</v>
      </c>
      <c r="M7" s="10" t="n">
        <v>17.1</v>
      </c>
      <c r="N7" s="10" t="inlineStr">
        <is>
          <t>C07 (57,3 s)</t>
        </is>
      </c>
      <c r="O7" s="10" t="n">
        <v>65</v>
      </c>
      <c r="P7" s="6" t="inlineStr">
        <is>
          <t>No encontraba el menú. Pulsó la solución arriba y le hubiese gustado ver antes los productos. Pidió el +56 9 ya escrito. Esperar la «nueva propuesta» al ajustar le pareció una pérdida de tiempo. Los precios se notaban poco; los videos le dieron seguridad.</t>
        </is>
      </c>
    </row>
    <row r="8">
      <c r="A8" s="5" t="inlineStr">
        <is>
          <t>P4</t>
        </is>
      </c>
      <c r="B8" s="10" t="inlineStr">
        <is>
          <t>Equipo · Ventas</t>
        </is>
      </c>
      <c r="C8" s="10" t="inlineStr">
        <is>
          <t>Computador</t>
        </is>
      </c>
      <c r="D8" s="10" t="inlineStr">
        <is>
          <t>T7</t>
        </is>
      </c>
      <c r="E8" s="10" t="n">
        <v>0</v>
      </c>
      <c r="F8" s="10" t="n">
        <v>127.5</v>
      </c>
      <c r="G8" s="10" t="n">
        <v>0</v>
      </c>
      <c r="H8" s="10" t="n">
        <v>2</v>
      </c>
      <c r="I8" s="10" t="n">
        <v>18</v>
      </c>
      <c r="J8" s="10" t="n">
        <v>9</v>
      </c>
      <c r="K8" s="10" t="n">
        <v>7.1</v>
      </c>
      <c r="L8" s="10" t="n"/>
      <c r="M8" s="10" t="n">
        <v>7.5</v>
      </c>
      <c r="N8" s="10" t="inlineStr">
        <is>
          <t>R02 (74,4 s)</t>
        </is>
      </c>
      <c r="O8" s="10" t="n">
        <v>27.5</v>
      </c>
      <c r="P8" s="6" t="inlineStr">
        <is>
          <t>Encontró el CRM intuitivo, pero no pudo dar una solución: no veía lo que cotizó el cliente ni una propuesta sugerida. Botones sin jerarquía; chat demasiado pequeño; pidió un mini tutorial.</t>
        </is>
      </c>
    </row>
    <row r="9">
      <c r="A9" s="5" t="inlineStr">
        <is>
          <t>P5</t>
        </is>
      </c>
      <c r="B9" s="10" t="inlineStr">
        <is>
          <t>Equipo · Jefatura</t>
        </is>
      </c>
      <c r="C9" s="10" t="inlineStr">
        <is>
          <t>Celular</t>
        </is>
      </c>
      <c r="D9" s="10" t="inlineStr">
        <is>
          <t>T9</t>
        </is>
      </c>
      <c r="E9" s="10" t="n">
        <v>1</v>
      </c>
      <c r="F9" s="10" t="n">
        <v>76</v>
      </c>
      <c r="G9" s="10" t="n">
        <v>0</v>
      </c>
      <c r="H9" s="10" t="n">
        <v>5</v>
      </c>
      <c r="I9" s="10" t="n">
        <v>15</v>
      </c>
      <c r="J9" s="10" t="n">
        <v>10</v>
      </c>
      <c r="K9" s="10" t="n">
        <v>2.7</v>
      </c>
      <c r="L9" s="10" t="n"/>
      <c r="M9" s="10" t="n">
        <v>10.1</v>
      </c>
      <c r="N9" s="10" t="inlineStr">
        <is>
          <t>R05 (52 s)</t>
        </is>
      </c>
      <c r="O9" s="10" t="n">
        <v>52.5</v>
      </c>
      <c r="P9" s="6" t="inlineStr">
        <is>
          <t>El panel le pareció útil, pero sin funciones para interactuar, cruzar datos o ver detalle. Su usuario escrito no entró. Todas las tarjetas e indicadores tenían el mismo color, sin jerarquía.</t>
        </is>
      </c>
    </row>
    <row r="10">
      <c r="A10" s="5" t="inlineStr">
        <is>
          <t>P6</t>
        </is>
      </c>
      <c r="B10" s="11" t="inlineStr"/>
      <c r="C10" s="11" t="inlineStr"/>
      <c r="D10" s="11" t="inlineStr"/>
      <c r="E10" s="11" t="n"/>
      <c r="F10" s="11" t="n"/>
      <c r="G10" s="11" t="n"/>
      <c r="H10" s="11" t="n"/>
      <c r="I10" s="11" t="n"/>
      <c r="J10" s="11" t="n"/>
      <c r="K10" s="11" t="n"/>
      <c r="L10" s="11" t="n"/>
      <c r="M10" s="11" t="n"/>
      <c r="N10" s="11" t="inlineStr"/>
      <c r="O10" s="11" t="n"/>
      <c r="P10" s="12" t="inlineStr">
        <is>
          <t>Ronda 2 (completar)</t>
        </is>
      </c>
    </row>
    <row r="11">
      <c r="A11" s="5" t="inlineStr">
        <is>
          <t>P7</t>
        </is>
      </c>
      <c r="B11" s="11" t="inlineStr"/>
      <c r="C11" s="11" t="inlineStr"/>
      <c r="D11" s="11" t="inlineStr"/>
      <c r="E11" s="11" t="n"/>
      <c r="F11" s="11" t="n"/>
      <c r="G11" s="11" t="n"/>
      <c r="H11" s="11" t="n"/>
      <c r="I11" s="11" t="n"/>
      <c r="J11" s="11" t="n"/>
      <c r="K11" s="11" t="n"/>
      <c r="L11" s="11" t="n"/>
      <c r="M11" s="11" t="n"/>
      <c r="N11" s="11" t="inlineStr"/>
      <c r="O11" s="11" t="n"/>
      <c r="P11" s="12" t="inlineStr">
        <is>
          <t>Ronda 2 (completar)</t>
        </is>
      </c>
    </row>
    <row r="12">
      <c r="A12" s="7" t="inlineStr">
        <is>
          <t>P8</t>
        </is>
      </c>
      <c r="B12" s="15" t="inlineStr"/>
      <c r="C12" s="15" t="inlineStr"/>
      <c r="D12" s="15" t="inlineStr"/>
      <c r="E12" s="15" t="n"/>
      <c r="F12" s="15" t="n"/>
      <c r="G12" s="15" t="n"/>
      <c r="H12" s="15" t="n"/>
      <c r="I12" s="15" t="n"/>
      <c r="J12" s="15" t="n"/>
      <c r="K12" s="15" t="n"/>
      <c r="L12" s="15" t="n"/>
      <c r="M12" s="15" t="n"/>
      <c r="N12" s="15" t="inlineStr"/>
      <c r="O12" s="15" t="n"/>
      <c r="P12" s="16" t="inlineStr">
        <is>
          <t>Ronda 2 (completar)</t>
        </is>
      </c>
    </row>
    <row r="13"/>
    <row r="14" ht="30" customHeight="1">
      <c r="A14" s="4" t="inlineStr">
        <is>
          <t>Tarea</t>
        </is>
      </c>
      <c r="B14" s="4" t="inlineStr">
        <is>
          <t>Perfil</t>
        </is>
      </c>
      <c r="C14" s="4" t="inlineStr">
        <is>
          <t>Intentos</t>
        </is>
      </c>
      <c r="D14" s="4" t="inlineStr">
        <is>
          <t>Éxito sin ayuda (%)</t>
        </is>
      </c>
      <c r="E14" s="4" t="inlineStr">
        <is>
          <t>Éxito total (%)</t>
        </is>
      </c>
      <c r="F14" s="4" t="inlineStr">
        <is>
          <t>Tiempo promedio (s)</t>
        </is>
      </c>
      <c r="G14" s="4" t="inlineStr">
        <is>
          <t>SEQ promedio</t>
        </is>
      </c>
      <c r="H14" s="4" t="inlineStr">
        <is>
          <t>Umbral de éxito</t>
        </is>
      </c>
      <c r="I14" s="4" t="inlineStr">
        <is>
          <t>¿Cumple?</t>
        </is>
      </c>
    </row>
    <row r="15">
      <c r="A15" s="5" t="inlineStr">
        <is>
          <t>T1</t>
        </is>
      </c>
      <c r="B15" s="10" t="inlineStr">
        <is>
          <t>Clientes (sitio)</t>
        </is>
      </c>
      <c r="C15" s="21">
        <f>COUNTIFS($D$5:$D$12,A15,$E$5:$E$12,"&lt;&gt;")</f>
        <v/>
      </c>
      <c r="D15" s="35">
        <f>IFERROR(COUNTIFS($D$5:$D$12,A15,$E$5:$E$12,1)/C15,"pendiente")</f>
        <v/>
      </c>
      <c r="E15" s="35">
        <f>IFERROR(AVERAGEIFS($E$5:$E$12,$D$5:$D$12,A15),"pendiente")</f>
        <v/>
      </c>
      <c r="F15" s="36">
        <f>IFERROR(AVERAGEIFS($F$5:$F$12,$D$5:$D$12,A15),"pendiente")</f>
        <v/>
      </c>
      <c r="G15" s="36">
        <f>IFERROR(AVERAGEIFS($H$5:$H$12,$D$5:$D$12,A15),"pendiente")</f>
        <v/>
      </c>
      <c r="H15" s="37" t="n">
        <v>0.8</v>
      </c>
      <c r="I15" s="38">
        <f>IF(C15=0,"pendiente",IF(D15&gt;=H15,"Sí","No"))</f>
        <v/>
      </c>
    </row>
    <row r="16">
      <c r="A16" s="5" t="inlineStr">
        <is>
          <t>T7</t>
        </is>
      </c>
      <c r="B16" s="10" t="inlineStr">
        <is>
          <t>Ventas (CRM)</t>
        </is>
      </c>
      <c r="C16" s="21">
        <f>COUNTIFS($D$5:$D$12,A16,$E$5:$E$12,"&lt;&gt;")</f>
        <v/>
      </c>
      <c r="D16" s="35">
        <f>IFERROR(COUNTIFS($D$5:$D$12,A16,$E$5:$E$12,1)/C16,"pendiente")</f>
        <v/>
      </c>
      <c r="E16" s="35">
        <f>IFERROR(AVERAGEIFS($E$5:$E$12,$D$5:$D$12,A16),"pendiente")</f>
        <v/>
      </c>
      <c r="F16" s="36">
        <f>IFERROR(AVERAGEIFS($F$5:$F$12,$D$5:$D$12,A16),"pendiente")</f>
        <v/>
      </c>
      <c r="G16" s="36">
        <f>IFERROR(AVERAGEIFS($H$5:$H$12,$D$5:$D$12,A16),"pendiente")</f>
        <v/>
      </c>
      <c r="H16" s="37" t="n">
        <v>0.8</v>
      </c>
      <c r="I16" s="38">
        <f>IF(C16=0,"pendiente",IF(D16&gt;=H16,"Sí","No"))</f>
        <v/>
      </c>
    </row>
    <row r="17">
      <c r="A17" s="7" t="inlineStr">
        <is>
          <t>T9</t>
        </is>
      </c>
      <c r="B17" s="14" t="inlineStr">
        <is>
          <t>Jefatura (CRM)</t>
        </is>
      </c>
      <c r="C17" s="22">
        <f>COUNTIFS($D$5:$D$12,A17,$E$5:$E$12,"&lt;&gt;")</f>
        <v/>
      </c>
      <c r="D17" s="39">
        <f>IFERROR(COUNTIFS($D$5:$D$12,A17,$E$5:$E$12,1)/C17,"pendiente")</f>
        <v/>
      </c>
      <c r="E17" s="39">
        <f>IFERROR(AVERAGEIFS($E$5:$E$12,$D$5:$D$12,A17),"pendiente")</f>
        <v/>
      </c>
      <c r="F17" s="40">
        <f>IFERROR(AVERAGEIFS($F$5:$F$12,$D$5:$D$12,A17),"pendiente")</f>
        <v/>
      </c>
      <c r="G17" s="40">
        <f>IFERROR(AVERAGEIFS($H$5:$H$12,$D$5:$D$12,A17),"pendiente")</f>
        <v/>
      </c>
      <c r="H17" s="41" t="n">
        <v>0.8</v>
      </c>
      <c r="I17" s="42">
        <f>IF(C17=0,"pendiente",IF(D17&gt;=H17,"Sí","No"))</f>
        <v/>
      </c>
    </row>
    <row r="18"/>
    <row r="19">
      <c r="A19" s="20" t="inlineStr">
        <is>
          <t>Nota de lectura: son 5 personas y una tarea larga cada una; los números orientan, no son estadística. Lo que pesa es lo que se repite entre personas y coincide con su línea de tiempo. Severidad y cambios en las hojas 10 y 22.</t>
        </is>
      </c>
    </row>
  </sheetData>
  <mergeCells count="1">
    <mergeCell ref="A2:P2"/>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tabColor rgb="005E7E29"/>
    <outlinePr summaryBelow="1" summaryRight="1"/>
    <pageSetUpPr fitToPage="1"/>
  </sheetPr>
  <dimension ref="A1:L29"/>
  <sheetViews>
    <sheetView showGridLines="0" zoomScale="90" workbookViewId="0">
      <pane ySplit="19" topLeftCell="A20" activePane="bottomLeft" state="frozen"/>
      <selection pane="bottomLeft" activeCell="A1" sqref="A1"/>
    </sheetView>
  </sheetViews>
  <sheetFormatPr baseColWidth="8" defaultRowHeight="15"/>
  <cols>
    <col width="12" customWidth="1" min="1" max="1"/>
    <col width="60" customWidth="1" min="2" max="2"/>
    <col width="12" customWidth="1" min="3" max="3"/>
    <col width="12" customWidth="1" min="4" max="4"/>
    <col width="46" customWidth="1" min="5" max="5"/>
    <col width="6" customWidth="1" min="6" max="6"/>
    <col width="6" customWidth="1" min="7" max="7"/>
    <col width="6" customWidth="1" min="8" max="8"/>
    <col width="6" customWidth="1" min="9" max="9"/>
    <col width="6" customWidth="1" min="10" max="10"/>
    <col width="6" customWidth="1" min="11" max="11"/>
    <col width="9" customWidth="1" min="12" max="12"/>
  </cols>
  <sheetData>
    <row r="1" ht="28" customHeight="1">
      <c r="A1" s="1" t="inlineStr">
        <is>
          <t>System Usability Scale (SUS) · ronda 1 y ronda 2</t>
        </is>
      </c>
      <c r="B1" s="2" t="n"/>
      <c r="C1" s="2" t="n"/>
      <c r="D1" s="2" t="n"/>
      <c r="E1" s="2" t="n"/>
      <c r="F1" s="2" t="n"/>
      <c r="G1" s="2" t="n"/>
      <c r="H1" s="2" t="n"/>
      <c r="I1" s="2" t="n"/>
      <c r="J1" s="2" t="n"/>
      <c r="K1" s="2" t="n"/>
      <c r="L1" s="2" t="n"/>
    </row>
    <row r="2" ht="26" customHeight="1">
      <c r="A2" s="3" t="inlineStr">
        <is>
          <t>Puntaje SUS 0–100 registrado por el test integrado (misma fórmula de abajo) el 15-10-2026; promedio de referencia 68 (Sauro 2011 [24]). Las respuestas por ítem de la ronda 1 no se guardaron (test sin el servidor del kit): solo se informa el puntaje del PDF.</t>
        </is>
      </c>
    </row>
    <row r="3"/>
    <row r="4" ht="30" customHeight="1">
      <c r="A4" s="4" t="inlineStr">
        <is>
          <t>Participante</t>
        </is>
      </c>
      <c r="B4" s="4" t="inlineStr">
        <is>
          <t>Perfil</t>
        </is>
      </c>
      <c r="C4" s="4" t="inlineStr">
        <is>
          <t>Dispositivo</t>
        </is>
      </c>
      <c r="D4" s="4" t="inlineStr">
        <is>
          <t>SUS (0–100)</t>
        </is>
      </c>
      <c r="E4" s="4" t="inlineStr">
        <is>
          <t>Lectura</t>
        </is>
      </c>
    </row>
    <row r="5">
      <c r="A5" s="5" t="inlineStr">
        <is>
          <t>P1</t>
        </is>
      </c>
      <c r="B5" s="10" t="inlineStr">
        <is>
          <t>Cliente · Hotel</t>
        </is>
      </c>
      <c r="C5" s="10" t="inlineStr">
        <is>
          <t>Computador</t>
        </is>
      </c>
      <c r="D5" s="10" t="n">
        <v>60</v>
      </c>
      <c r="E5" s="38">
        <f>IF(D5&gt;=68,"Sobre el promedio de referencia","Bajo el promedio de referencia (68)")</f>
        <v/>
      </c>
    </row>
    <row r="6">
      <c r="A6" s="5" t="inlineStr">
        <is>
          <t>P2</t>
        </is>
      </c>
      <c r="B6" s="10" t="inlineStr">
        <is>
          <t>Cliente · Restaurante</t>
        </is>
      </c>
      <c r="C6" s="10" t="inlineStr">
        <is>
          <t>Celular</t>
        </is>
      </c>
      <c r="D6" s="10" t="n">
        <v>60</v>
      </c>
      <c r="E6" s="38">
        <f>IF(D6&gt;=68,"Sobre el promedio de referencia","Bajo el promedio de referencia (68)")</f>
        <v/>
      </c>
    </row>
    <row r="7">
      <c r="A7" s="5" t="inlineStr">
        <is>
          <t>P3</t>
        </is>
      </c>
      <c r="B7" s="10" t="inlineStr">
        <is>
          <t>Cliente · Cafetería</t>
        </is>
      </c>
      <c r="C7" s="10" t="inlineStr">
        <is>
          <t>Celular</t>
        </is>
      </c>
      <c r="D7" s="10" t="n">
        <v>65</v>
      </c>
      <c r="E7" s="38">
        <f>IF(D7&gt;=68,"Sobre el promedio de referencia","Bajo el promedio de referencia (68)")</f>
        <v/>
      </c>
    </row>
    <row r="8">
      <c r="A8" s="5" t="inlineStr">
        <is>
          <t>P4</t>
        </is>
      </c>
      <c r="B8" s="10" t="inlineStr">
        <is>
          <t>Equipo · Ventas</t>
        </is>
      </c>
      <c r="C8" s="10" t="inlineStr">
        <is>
          <t>Computador</t>
        </is>
      </c>
      <c r="D8" s="10" t="n">
        <v>27.5</v>
      </c>
      <c r="E8" s="38">
        <f>IF(D8&gt;=68,"Sobre el promedio de referencia","Bajo el promedio de referencia (68)")</f>
        <v/>
      </c>
    </row>
    <row r="9">
      <c r="A9" s="5" t="inlineStr">
        <is>
          <t>P5</t>
        </is>
      </c>
      <c r="B9" s="10" t="inlineStr">
        <is>
          <t>Equipo · Jefatura</t>
        </is>
      </c>
      <c r="C9" s="10" t="inlineStr">
        <is>
          <t>Celular</t>
        </is>
      </c>
      <c r="D9" s="10" t="n">
        <v>52.5</v>
      </c>
      <c r="E9" s="38">
        <f>IF(D9&gt;=68,"Sobre el promedio de referencia","Bajo el promedio de referencia (68)")</f>
        <v/>
      </c>
    </row>
    <row r="10">
      <c r="A10" s="43" t="inlineStr">
        <is>
          <t>Promedio</t>
        </is>
      </c>
      <c r="B10" s="17" t="inlineStr">
        <is>
          <t>Clientes (P1–P3)</t>
        </is>
      </c>
      <c r="C10" s="17" t="inlineStr"/>
      <c r="D10" s="44">
        <f>AVERAGE(D5:D7)</f>
        <v/>
      </c>
      <c r="E10" s="45">
        <f>IF(D10&gt;=68,"Cumple (≥ 68)","No cumple (&lt; 68)")</f>
        <v/>
      </c>
    </row>
    <row r="11">
      <c r="A11" s="46" t="inlineStr">
        <is>
          <t>Promedio</t>
        </is>
      </c>
      <c r="B11" s="47" t="inlineStr">
        <is>
          <t>Equipo (P4–P5)</t>
        </is>
      </c>
      <c r="C11" s="47" t="inlineStr"/>
      <c r="D11" s="48">
        <f>AVERAGE(D8:D9)</f>
        <v/>
      </c>
      <c r="E11" s="49">
        <f>IF(D11&gt;=68,"Cumple (≥ 68)","No cumple (&lt; 68)")</f>
        <v/>
      </c>
    </row>
    <row r="12"/>
    <row r="13">
      <c r="A13" s="50" t="inlineStr">
        <is>
          <t>Ronda 2 · respuestas por ítem (1 = muy en desacuerdo a 5 = muy de acuerdo). Puntaje = ((ítems impares − 1) + (5 − ítems pares)) × 2,5</t>
        </is>
      </c>
    </row>
    <row r="14" ht="30" customHeight="1">
      <c r="A14" s="4" t="inlineStr">
        <is>
          <t>Participante</t>
        </is>
      </c>
      <c r="B14" s="4" t="inlineStr">
        <is>
          <t>Í1</t>
        </is>
      </c>
      <c r="C14" s="4" t="inlineStr">
        <is>
          <t>Í2</t>
        </is>
      </c>
      <c r="D14" s="4" t="inlineStr">
        <is>
          <t>Í3</t>
        </is>
      </c>
      <c r="E14" s="4" t="inlineStr">
        <is>
          <t>Í4</t>
        </is>
      </c>
      <c r="F14" s="4" t="inlineStr">
        <is>
          <t>Í5</t>
        </is>
      </c>
      <c r="G14" s="4" t="inlineStr">
        <is>
          <t>Í6</t>
        </is>
      </c>
      <c r="H14" s="4" t="inlineStr">
        <is>
          <t>Í7</t>
        </is>
      </c>
      <c r="I14" s="4" t="inlineStr">
        <is>
          <t>Í8</t>
        </is>
      </c>
      <c r="J14" s="4" t="inlineStr">
        <is>
          <t>Í9</t>
        </is>
      </c>
      <c r="K14" s="4" t="inlineStr">
        <is>
          <t>Í10</t>
        </is>
      </c>
      <c r="L14" s="4" t="inlineStr">
        <is>
          <t>SUS</t>
        </is>
      </c>
    </row>
    <row r="15">
      <c r="A15" s="5" t="inlineStr">
        <is>
          <t>P6</t>
        </is>
      </c>
      <c r="B15" s="11" t="n"/>
      <c r="C15" s="11" t="n"/>
      <c r="D15" s="11" t="n"/>
      <c r="E15" s="11" t="n"/>
      <c r="F15" s="11" t="n"/>
      <c r="G15" s="11" t="n"/>
      <c r="H15" s="11" t="n"/>
      <c r="I15" s="11" t="n"/>
      <c r="J15" s="11" t="n"/>
      <c r="K15" s="11" t="n"/>
      <c r="L15" s="38">
        <f>IF(COUNT(B15:K15)=10,((B15-1)+(5-C15)+(D15-1)+(5-E15)+(F15-1)+(5-G15)+(H15-1)+(5-I15)+(J15-1)+(5-K15))*2.5,"")</f>
        <v/>
      </c>
    </row>
    <row r="16">
      <c r="A16" s="5" t="inlineStr">
        <is>
          <t>P7</t>
        </is>
      </c>
      <c r="B16" s="11" t="n"/>
      <c r="C16" s="11" t="n"/>
      <c r="D16" s="11" t="n"/>
      <c r="E16" s="11" t="n"/>
      <c r="F16" s="11" t="n"/>
      <c r="G16" s="11" t="n"/>
      <c r="H16" s="11" t="n"/>
      <c r="I16" s="11" t="n"/>
      <c r="J16" s="11" t="n"/>
      <c r="K16" s="11" t="n"/>
      <c r="L16" s="38">
        <f>IF(COUNT(B16:K16)=10,((B16-1)+(5-C16)+(D16-1)+(5-E16)+(F16-1)+(5-G16)+(H16-1)+(5-I16)+(J16-1)+(5-K16))*2.5,"")</f>
        <v/>
      </c>
    </row>
    <row r="17">
      <c r="A17" s="7" t="inlineStr">
        <is>
          <t>P8</t>
        </is>
      </c>
      <c r="B17" s="15" t="n"/>
      <c r="C17" s="15" t="n"/>
      <c r="D17" s="15" t="n"/>
      <c r="E17" s="15" t="n"/>
      <c r="F17" s="15" t="n"/>
      <c r="G17" s="15" t="n"/>
      <c r="H17" s="15" t="n"/>
      <c r="I17" s="15" t="n"/>
      <c r="J17" s="15" t="n"/>
      <c r="K17" s="15" t="n"/>
      <c r="L17" s="42">
        <f>IF(COUNT(B17:K17)=10,((B17-1)+(5-C17)+(D17-1)+(5-E17)+(F17-1)+(5-G17)+(H17-1)+(5-I17)+(J17-1)+(5-K17))*2.5,"")</f>
        <v/>
      </c>
    </row>
    <row r="18"/>
    <row r="19" ht="30" customHeight="1">
      <c r="A19" s="4" t="inlineStr">
        <is>
          <t>N.º</t>
        </is>
      </c>
      <c r="B19" s="4" t="inlineStr">
        <is>
          <t>Ítem del cuestionario</t>
        </is>
      </c>
    </row>
    <row r="20">
      <c r="A20" s="5" t="n">
        <v>1</v>
      </c>
      <c r="B20" s="6" t="inlineStr">
        <is>
          <t>Creo que me gustaría usar este sitio con frecuencia.</t>
        </is>
      </c>
    </row>
    <row r="21">
      <c r="A21" s="5" t="n">
        <v>2</v>
      </c>
      <c r="B21" s="6" t="inlineStr">
        <is>
          <t>Encontré el sitio innecesariamente complejo.</t>
        </is>
      </c>
    </row>
    <row r="22">
      <c r="A22" s="5" t="n">
        <v>3</v>
      </c>
      <c r="B22" s="6" t="inlineStr">
        <is>
          <t>Pensé que era fácil de usar.</t>
        </is>
      </c>
    </row>
    <row r="23">
      <c r="A23" s="5" t="n">
        <v>4</v>
      </c>
      <c r="B23" s="6" t="inlineStr">
        <is>
          <t>Creo que necesitaría ayuda de una persona con conocimientos técnicos para usarlo.</t>
        </is>
      </c>
    </row>
    <row r="24">
      <c r="A24" s="5" t="n">
        <v>5</v>
      </c>
      <c r="B24" s="6" t="inlineStr">
        <is>
          <t>Las funciones del sitio estaban bien integradas.</t>
        </is>
      </c>
    </row>
    <row r="25">
      <c r="A25" s="5" t="n">
        <v>6</v>
      </c>
      <c r="B25" s="6" t="inlineStr">
        <is>
          <t>Pensé que había demasiada inconsistencia.</t>
        </is>
      </c>
    </row>
    <row r="26">
      <c r="A26" s="5" t="n">
        <v>7</v>
      </c>
      <c r="B26" s="6" t="inlineStr">
        <is>
          <t>Imagino que la mayoría aprendería a usarlo muy rápido.</t>
        </is>
      </c>
    </row>
    <row r="27">
      <c r="A27" s="5" t="n">
        <v>8</v>
      </c>
      <c r="B27" s="6" t="inlineStr">
        <is>
          <t>Lo encontré muy engorroso de usar.</t>
        </is>
      </c>
    </row>
    <row r="28">
      <c r="A28" s="5" t="n">
        <v>9</v>
      </c>
      <c r="B28" s="6" t="inlineStr">
        <is>
          <t>Me sentí muy confiado al usarlo.</t>
        </is>
      </c>
    </row>
    <row r="29">
      <c r="A29" s="7" t="n">
        <v>10</v>
      </c>
      <c r="B29" s="8" t="inlineStr">
        <is>
          <t>Necesité aprender muchas cosas antes de poder usarlo.</t>
        </is>
      </c>
    </row>
  </sheetData>
  <mergeCells count="1">
    <mergeCell ref="A2:L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tabColor rgb="005E7E29"/>
    <outlinePr summaryBelow="1" summaryRight="1"/>
    <pageSetUpPr fitToPage="1"/>
  </sheetPr>
  <dimension ref="A1:N74"/>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8" customWidth="1" min="2" max="2"/>
    <col width="11" customWidth="1" min="3" max="3"/>
    <col width="22" customWidth="1" min="4" max="4"/>
    <col width="14" customWidth="1" min="5" max="5"/>
    <col width="34" customWidth="1" min="6" max="6"/>
    <col width="42" customWidth="1" min="7" max="7"/>
    <col width="11" customWidth="1" min="8" max="8"/>
    <col width="11" customWidth="1" min="9" max="9"/>
    <col width="11" customWidth="1" min="10" max="10"/>
    <col width="10" customWidth="1" min="11" max="11"/>
    <col width="40" customWidth="1" min="12" max="12"/>
    <col width="8" customWidth="1" min="13" max="13"/>
    <col width="24" customWidth="1" min="14" max="14"/>
  </cols>
  <sheetData>
    <row r="1" ht="28" customHeight="1">
      <c r="A1" s="1" t="inlineStr">
        <is>
          <t>Hallazgos, severidad y mejoras</t>
        </is>
      </c>
      <c r="B1" s="2" t="n"/>
      <c r="C1" s="2" t="n"/>
      <c r="D1" s="2" t="n"/>
      <c r="E1" s="2" t="n"/>
      <c r="F1" s="2" t="n"/>
      <c r="G1" s="2" t="n"/>
      <c r="H1" s="2" t="n"/>
      <c r="I1" s="2" t="n"/>
      <c r="J1" s="2" t="n"/>
      <c r="K1" s="2" t="n"/>
      <c r="L1" s="2" t="n"/>
      <c r="M1" s="2" t="n"/>
      <c r="N1" s="2" t="n"/>
    </row>
    <row r="2" ht="26" customHeight="1">
      <c r="A2" s="3" t="inlineStr">
        <is>
          <t>Ciclo 0: revisión interna del autor del proyecto (09 a 12-10-2026), registrada con citas; NO es un test con usuarios. Ciclo 1: test con 5 usuarios del 15-10-2026 (participantes con código), con la mejora aplicada en v6. Severidad: crítica = 4, alta = 3, media = 2 (Nielsen 1994 [22]).</t>
        </is>
      </c>
    </row>
    <row r="3"/>
    <row r="4" ht="30" customHeight="1">
      <c r="A4" s="4" t="inlineStr">
        <is>
          <t>ID</t>
        </is>
      </c>
      <c r="B4" s="4" t="inlineStr">
        <is>
          <t>Ciclo</t>
        </is>
      </c>
      <c r="C4" s="4" t="inlineStr">
        <is>
          <t>Fecha</t>
        </is>
      </c>
      <c r="D4" s="4" t="inlineStr">
        <is>
          <t>Fuente de evidencia</t>
        </is>
      </c>
      <c r="E4" s="4" t="inlineStr">
        <is>
          <t>Pantalla / tarea</t>
        </is>
      </c>
      <c r="F4" s="4" t="inlineStr">
        <is>
          <t>Hallazgo (fricción)</t>
        </is>
      </c>
      <c r="G4" s="4" t="inlineStr">
        <is>
          <t>Evidencia (cita u observación)</t>
        </is>
      </c>
      <c r="H4" s="4" t="inlineStr">
        <is>
          <t>Frecuencia</t>
        </is>
      </c>
      <c r="I4" s="4" t="inlineStr">
        <is>
          <t>Impacto</t>
        </is>
      </c>
      <c r="J4" s="4" t="inlineStr">
        <is>
          <t>Persistencia</t>
        </is>
      </c>
      <c r="K4" s="4" t="inlineStr">
        <is>
          <t>Severidad (0–4)</t>
        </is>
      </c>
      <c r="L4" s="4" t="inlineStr">
        <is>
          <t>Mejora incorporada</t>
        </is>
      </c>
      <c r="M4" s="4" t="inlineStr">
        <is>
          <t>Versión</t>
        </is>
      </c>
      <c r="N4" s="4" t="inlineStr">
        <is>
          <t>Estado</t>
        </is>
      </c>
    </row>
    <row r="5">
      <c r="A5" s="5" t="inlineStr">
        <is>
          <t>H01</t>
        </is>
      </c>
      <c r="B5" s="10" t="n">
        <v>0</v>
      </c>
      <c r="C5" s="10" t="inlineStr">
        <is>
          <t>10-10-2026</t>
        </is>
      </c>
      <c r="D5" s="10" t="inlineStr">
        <is>
          <t>Revisión interna (autor)</t>
        </is>
      </c>
      <c r="E5" s="10" t="inlineStr">
        <is>
          <t>C07–C10</t>
        </is>
      </c>
      <c r="F5" s="10" t="inlineStr">
        <is>
          <t>Tras las 4 preguntas venían varias etapas (recomendación, propuesta, solicitud) que se leían como pestañas</t>
        </is>
      </c>
      <c r="G5" s="10" t="inlineStr">
        <is>
          <t>«después de las cuatro preguntas vienen hartas fases, como pestañas, que siento que son más fricciones»</t>
        </is>
      </c>
      <c r="H5" s="10" t="inlineStr">
        <is>
          <t>Alta</t>
        </is>
      </c>
      <c r="I5" s="10" t="inlineStr">
        <is>
          <t>Alto</t>
        </is>
      </c>
      <c r="J5" s="10" t="inlineStr">
        <is>
          <t>Alta</t>
        </is>
      </c>
      <c r="K5" s="11" t="n">
        <v>3</v>
      </c>
      <c r="L5" s="10" t="inlineStr">
        <is>
          <t>Contacto humano inmediato después de las preguntas (C05); lo demás pasa al portal</t>
        </is>
      </c>
      <c r="M5" s="10" t="inlineStr">
        <is>
          <t>v4</t>
        </is>
      </c>
      <c r="N5" s="6" t="inlineStr">
        <is>
          <t>Incorporado; re-test con usuarios pendiente (T3)</t>
        </is>
      </c>
    </row>
    <row r="6">
      <c r="A6" s="5" t="inlineStr">
        <is>
          <t>H02</t>
        </is>
      </c>
      <c r="B6" s="10" t="n">
        <v>0</v>
      </c>
      <c r="C6" s="10" t="inlineStr">
        <is>
          <t>10-10-2026</t>
        </is>
      </c>
      <c r="D6" s="10" t="inlineStr">
        <is>
          <t>Revisión interna (autor)</t>
        </is>
      </c>
      <c r="E6" s="10" t="inlineStr">
        <is>
          <t>C05–C06</t>
        </is>
      </c>
      <c r="F6" s="10" t="inlineStr">
        <is>
          <t>No se podía elegir hablar con una persona por chat real, llamada o correo</t>
        </is>
      </c>
      <c r="G6" s="10" t="inlineStr">
        <is>
          <t>Pidió llamada, correo o chat real en el portal, con un bot de bienvenida y espera según disponibilidad</t>
        </is>
      </c>
      <c r="H6" s="10" t="inlineStr">
        <is>
          <t>Alta</t>
        </is>
      </c>
      <c r="I6" s="10" t="inlineStr">
        <is>
          <t>Alto</t>
        </is>
      </c>
      <c r="J6" s="10" t="inlineStr">
        <is>
          <t>Alta</t>
        </is>
      </c>
      <c r="K6" s="11" t="n">
        <v>3</v>
      </c>
      <c r="L6" s="10" t="inlineStr">
        <is>
          <t>Omnicanal: chat real con bot y espera, llamada en cola o agendada, correo; cambio de canal sin perder la conversación</t>
        </is>
      </c>
      <c r="M6" s="10" t="inlineStr">
        <is>
          <t>v4</t>
        </is>
      </c>
      <c r="N6" s="6" t="inlineStr">
        <is>
          <t>Incorporado; re-test pendiente (T3, T4)</t>
        </is>
      </c>
    </row>
    <row r="7">
      <c r="A7" s="5" t="inlineStr">
        <is>
          <t>H03</t>
        </is>
      </c>
      <c r="B7" s="10" t="n">
        <v>0</v>
      </c>
      <c r="C7" s="10" t="inlineStr">
        <is>
          <t>10-10-2026</t>
        </is>
      </c>
      <c r="D7" s="10" t="inlineStr">
        <is>
          <t>Revisión interna (autor)</t>
        </is>
      </c>
      <c r="E7" s="10" t="inlineStr">
        <is>
          <t>C04, CRM</t>
        </is>
      </c>
      <c r="F7" s="10" t="inlineStr">
        <is>
          <t>La geografía no pesaba en el puntaje ni en la asignación de ejecutiva</t>
        </is>
      </c>
      <c r="G7" s="10" t="inlineStr">
        <is>
          <t>«no es lo mismo un hotel o restaurante en las condes o providencia que en santiago centro»</t>
        </is>
      </c>
      <c r="H7" s="10" t="inlineStr">
        <is>
          <t>Alta</t>
        </is>
      </c>
      <c r="I7" s="10" t="inlineStr">
        <is>
          <t>Medio</t>
        </is>
      </c>
      <c r="J7" s="10" t="inlineStr">
        <is>
          <t>Alta</t>
        </is>
      </c>
      <c r="K7" s="11" t="n">
        <v>2</v>
      </c>
      <c r="L7" s="10" t="inlineStr">
        <is>
          <t>Comuna como pregunta 2; evento 14 en Engagement; 15 % en Financial; ejecutiva y ruta por zona; mapa R06</t>
        </is>
      </c>
      <c r="M7" s="10" t="inlineStr">
        <is>
          <t>v4</t>
        </is>
      </c>
      <c r="N7" s="6" t="inlineStr">
        <is>
          <t>Incorporado; calibrar con ventas por comuna</t>
        </is>
      </c>
    </row>
    <row r="8">
      <c r="A8" s="5" t="inlineStr">
        <is>
          <t>H04</t>
        </is>
      </c>
      <c r="B8" s="10" t="n">
        <v>0</v>
      </c>
      <c r="C8" s="10" t="inlineStr">
        <is>
          <t>10-10-2026</t>
        </is>
      </c>
      <c r="D8" s="10" t="inlineStr">
        <is>
          <t>Revisión interna (autor)</t>
        </is>
      </c>
      <c r="E8" s="10" t="inlineStr">
        <is>
          <t>CRM</t>
        </is>
      </c>
      <c r="F8" s="10" t="inlineStr">
        <is>
          <t>Menú del CRM demasiado largo (12 secciones) y centrado en el puntaje</t>
        </is>
      </c>
      <c r="G8" s="10" t="inlineStr">
        <is>
          <t>«tiene un menú gigante… ni yo mismo lo podría ocupar»</t>
        </is>
      </c>
      <c r="H8" s="10" t="inlineStr">
        <is>
          <t>Alta</t>
        </is>
      </c>
      <c r="I8" s="10" t="inlineStr">
        <is>
          <t>Alto</t>
        </is>
      </c>
      <c r="J8" s="10" t="inlineStr">
        <is>
          <t>Alta</t>
        </is>
      </c>
      <c r="K8" s="11" t="n">
        <v>3</v>
      </c>
      <c r="L8" s="10" t="inlineStr">
        <is>
          <t>Menú de 6 secciones por rol; puntaje como apoyo</t>
        </is>
      </c>
      <c r="M8" s="10" t="inlineStr">
        <is>
          <t>v4</t>
        </is>
      </c>
      <c r="N8" s="6" t="inlineStr">
        <is>
          <t>Incorporado; re-test pendiente (T7–T9)</t>
        </is>
      </c>
    </row>
    <row r="9">
      <c r="A9" s="5" t="inlineStr">
        <is>
          <t>H05</t>
        </is>
      </c>
      <c r="B9" s="10" t="n">
        <v>0</v>
      </c>
      <c r="C9" s="10" t="inlineStr">
        <is>
          <t>10-10-2026</t>
        </is>
      </c>
      <c r="D9" s="10" t="inlineStr">
        <is>
          <t>Revisión interna (autor)</t>
        </is>
      </c>
      <c r="E9" s="10" t="inlineStr">
        <is>
          <t>R04</t>
        </is>
      </c>
      <c r="F9" s="10" t="inlineStr">
        <is>
          <t>La ficha no mostraba qué compra el cliente ni con qué frecuencia</t>
        </is>
      </c>
      <c r="G9" s="10" t="inlineStr">
        <is>
          <t>Pidió ver qué compra, cuántas veces, primera compra, frecuencia y ticket promedio</t>
        </is>
      </c>
      <c r="H9" s="10" t="inlineStr">
        <is>
          <t>Alta</t>
        </is>
      </c>
      <c r="I9" s="10" t="inlineStr">
        <is>
          <t>Alto</t>
        </is>
      </c>
      <c r="J9" s="10" t="inlineStr">
        <is>
          <t>Alta</t>
        </is>
      </c>
      <c r="K9" s="11" t="n">
        <v>3</v>
      </c>
      <c r="L9" s="10" t="inlineStr">
        <is>
          <t>Ficha con datos de compra al frente y próxima mejor acción</t>
        </is>
      </c>
      <c r="M9" s="10" t="inlineStr">
        <is>
          <t>v4</t>
        </is>
      </c>
      <c r="N9" s="6" t="inlineStr">
        <is>
          <t>Incorporado; re-test pendiente (T8)</t>
        </is>
      </c>
    </row>
    <row r="10">
      <c r="A10" s="5" t="inlineStr">
        <is>
          <t>H06</t>
        </is>
      </c>
      <c r="B10" s="10" t="n">
        <v>0</v>
      </c>
      <c r="C10" s="10" t="inlineStr">
        <is>
          <t>10-10-2026</t>
        </is>
      </c>
      <c r="D10" s="10" t="inlineStr">
        <is>
          <t>Revisión interna (autor)</t>
        </is>
      </c>
      <c r="E10" s="10" t="inlineStr">
        <is>
          <t>R05</t>
        </is>
      </c>
      <c r="F10" s="10" t="inlineStr">
        <is>
          <t>El panel de jefatura no era agregado</t>
        </is>
      </c>
      <c r="G10" s="10" t="inlineStr">
        <is>
          <t>Pidió ver cuántos compran, MQL y SQL actuales y referidos, no a cada persona</t>
        </is>
      </c>
      <c r="H10" s="10" t="inlineStr">
        <is>
          <t>Media</t>
        </is>
      </c>
      <c r="I10" s="10" t="inlineStr">
        <is>
          <t>Medio</t>
        </is>
      </c>
      <c r="J10" s="10" t="inlineStr">
        <is>
          <t>Alta</t>
        </is>
      </c>
      <c r="K10" s="11" t="n">
        <v>2</v>
      </c>
      <c r="L10" s="10" t="inlineStr">
        <is>
          <t>Panel agregado por tipo de cliente y por zona, sin ranking por persona</t>
        </is>
      </c>
      <c r="M10" s="10" t="inlineStr">
        <is>
          <t>v4</t>
        </is>
      </c>
      <c r="N10" s="6" t="inlineStr">
        <is>
          <t>Incorporado; re-test pendiente (T9)</t>
        </is>
      </c>
    </row>
    <row r="11">
      <c r="A11" s="5" t="inlineStr">
        <is>
          <t>H07</t>
        </is>
      </c>
      <c r="B11" s="10" t="n">
        <v>0</v>
      </c>
      <c r="C11" s="10" t="inlineStr">
        <is>
          <t>10-10-2026</t>
        </is>
      </c>
      <c r="D11" s="10" t="inlineStr">
        <is>
          <t>Revisión interna (autor)</t>
        </is>
      </c>
      <c r="E11" s="10" t="inlineStr">
        <is>
          <t>C02, C06, C08</t>
        </is>
      </c>
      <c r="F11" s="10" t="inlineStr">
        <is>
          <t>Videos de casos con logos incorrectos, tazas sin marca y fuera del flujo</t>
        </is>
      </c>
      <c r="G11" s="10" t="inlineStr">
        <is>
          <t>«si en verdad vemos un video y no sale la marca bien… se ve como una inconsistencia»</t>
        </is>
      </c>
      <c r="H11" s="10" t="inlineStr">
        <is>
          <t>Alta</t>
        </is>
      </c>
      <c r="I11" s="10" t="inlineStr">
        <is>
          <t>Alto</t>
        </is>
      </c>
      <c r="J11" s="10" t="inlineStr">
        <is>
          <t>Alta</t>
        </is>
      </c>
      <c r="K11" s="11" t="n">
        <v>3</v>
      </c>
      <c r="L11" s="10" t="inlineStr">
        <is>
          <t>2 videos nuevos desde fotos oficiales, revisados cuadro a cuadro, en C02, C06 y C08 de los 3 entregables</t>
        </is>
      </c>
      <c r="M11" s="10" t="inlineStr">
        <is>
          <t>v4</t>
        </is>
      </c>
      <c r="N11" s="6" t="inlineStr">
        <is>
          <t>Incorporado</t>
        </is>
      </c>
    </row>
    <row r="12">
      <c r="A12" s="5" t="inlineStr">
        <is>
          <t>H08</t>
        </is>
      </c>
      <c r="B12" s="10" t="n">
        <v>0</v>
      </c>
      <c r="C12" s="10" t="inlineStr">
        <is>
          <t>09-10-2026</t>
        </is>
      </c>
      <c r="D12" s="10" t="inlineStr">
        <is>
          <t>Revisión interna (autor)</t>
        </is>
      </c>
      <c r="E12" s="10" t="inlineStr">
        <is>
          <t>Todo el sitio</t>
        </is>
      </c>
      <c r="F12" s="10" t="inlineStr">
        <is>
          <t>La marca aparecía como «Marley» sola</t>
        </is>
      </c>
      <c r="G12" s="10" t="inlineStr">
        <is>
          <t>«si pones solo marley, se puede mal entender. la marca es marley coffee»</t>
        </is>
      </c>
      <c r="H12" s="10" t="inlineStr">
        <is>
          <t>Media</t>
        </is>
      </c>
      <c r="I12" s="10" t="inlineStr">
        <is>
          <t>Medio</t>
        </is>
      </c>
      <c r="J12" s="10" t="inlineStr">
        <is>
          <t>Alta</t>
        </is>
      </c>
      <c r="K12" s="11" t="n">
        <v>2</v>
      </c>
      <c r="L12" s="10" t="inlineStr">
        <is>
          <t>Regla de marca en textos, etiquetas e informe; verificación automática</t>
        </is>
      </c>
      <c r="M12" s="10" t="inlineStr">
        <is>
          <t>v4</t>
        </is>
      </c>
      <c r="N12" s="6" t="inlineStr">
        <is>
          <t>Incorporado; verificado 0 casos</t>
        </is>
      </c>
    </row>
    <row r="13">
      <c r="A13" s="5" t="inlineStr">
        <is>
          <t>H09</t>
        </is>
      </c>
      <c r="B13" s="10" t="n">
        <v>0</v>
      </c>
      <c r="C13" s="10" t="inlineStr">
        <is>
          <t>09-10-2026</t>
        </is>
      </c>
      <c r="D13" s="10" t="inlineStr">
        <is>
          <t>Revisión interna (autor)</t>
        </is>
      </c>
      <c r="E13" s="10" t="inlineStr">
        <is>
          <t>CRM</t>
        </is>
      </c>
      <c r="F13" s="10" t="inlineStr">
        <is>
          <t>El CRM se veía vacío en wireframes y mockups</t>
        </is>
      </c>
      <c r="G13" s="10" t="inlineStr">
        <is>
          <t>«sobre todo el crm que no había nada»</t>
        </is>
      </c>
      <c r="H13" s="10" t="inlineStr">
        <is>
          <t>Alta</t>
        </is>
      </c>
      <c r="I13" s="10" t="inlineStr">
        <is>
          <t>Alto</t>
        </is>
      </c>
      <c r="J13" s="10" t="inlineStr">
        <is>
          <t>Alta</t>
        </is>
      </c>
      <c r="K13" s="11" t="n">
        <v>3</v>
      </c>
      <c r="L13" s="10" t="inlineStr">
        <is>
          <t>Caso de ejemplo y datos de demostración rotulados en los tres entregables</t>
        </is>
      </c>
      <c r="M13" s="10" t="inlineStr">
        <is>
          <t>v3→v4</t>
        </is>
      </c>
      <c r="N13" s="6" t="inlineStr">
        <is>
          <t>Incorporado</t>
        </is>
      </c>
    </row>
    <row r="14">
      <c r="A14" s="5" t="inlineStr">
        <is>
          <t>H10</t>
        </is>
      </c>
      <c r="B14" s="10" t="n">
        <v>0</v>
      </c>
      <c r="C14" s="10" t="inlineStr">
        <is>
          <t>08-10-2026</t>
        </is>
      </c>
      <c r="D14" s="10" t="inlineStr">
        <is>
          <t>Revisión interna (autor)</t>
        </is>
      </c>
      <c r="E14" s="10" t="inlineStr">
        <is>
          <t>Estados</t>
        </is>
      </c>
      <c r="F14" s="10" t="inlineStr">
        <is>
          <t>Estados en inglés incomprensibles («pending…»)</t>
        </is>
      </c>
      <c r="G14" s="10" t="inlineStr">
        <is>
          <t>Vio una frase «pending…» que no entendía</t>
        </is>
      </c>
      <c r="H14" s="10" t="inlineStr">
        <is>
          <t>Media</t>
        </is>
      </c>
      <c r="I14" s="10" t="inlineStr">
        <is>
          <t>Medio</t>
        </is>
      </c>
      <c r="J14" s="10" t="inlineStr">
        <is>
          <t>Media</t>
        </is>
      </c>
      <c r="K14" s="11" t="n">
        <v>2</v>
      </c>
      <c r="L14" s="10" t="inlineStr">
        <is>
          <t>Todos los estados en español; verificación automática sin palabras en inglés</t>
        </is>
      </c>
      <c r="M14" s="10" t="inlineStr">
        <is>
          <t>v3→v4</t>
        </is>
      </c>
      <c r="N14" s="6" t="inlineStr">
        <is>
          <t>Incorporado; verificado 0 casos</t>
        </is>
      </c>
    </row>
    <row r="15">
      <c r="A15" s="5" t="inlineStr">
        <is>
          <t>H11</t>
        </is>
      </c>
      <c r="B15" s="10" t="n">
        <v>0</v>
      </c>
      <c r="C15" s="10" t="inlineStr">
        <is>
          <t>10-10-2026</t>
        </is>
      </c>
      <c r="D15" s="10" t="inlineStr">
        <is>
          <t>Revisión interna (autor)</t>
        </is>
      </c>
      <c r="E15" s="10" t="inlineStr">
        <is>
          <t>C02–C09, CRM</t>
        </is>
      </c>
      <c r="F15" s="10" t="inlineStr">
        <is>
          <t>Los lead magnets LM1–LM7 no se veían en ninguna pantalla ni en el informe</t>
        </is>
      </c>
      <c r="G15" s="10" t="inlineStr">
        <is>
          <t>«ojo con los lead magnets que no los vi en ningún lado»</t>
        </is>
      </c>
      <c r="H15" s="10" t="inlineStr">
        <is>
          <t>Alta</t>
        </is>
      </c>
      <c r="I15" s="10" t="inlineStr">
        <is>
          <t>Alto</t>
        </is>
      </c>
      <c r="J15" s="10" t="inlineStr">
        <is>
          <t>Alta</t>
        </is>
      </c>
      <c r="K15" s="11" t="n">
        <v>3</v>
      </c>
      <c r="L15" s="10" t="inlineStr">
        <is>
          <t>LM visibles antes de cada esfuerzo (C02 a C09), adaptados al negocio; en el CRM (ficha, contexto, panel y marketing), diagramas, informe y hoja 15</t>
        </is>
      </c>
      <c r="M15" s="10" t="inlineStr">
        <is>
          <t>v4.1</t>
        </is>
      </c>
      <c r="N15" s="6" t="inlineStr">
        <is>
          <t>Incorporado; re-test pendiente (T1–T6)</t>
        </is>
      </c>
    </row>
    <row r="16">
      <c r="A16" s="5" t="inlineStr">
        <is>
          <t>H12</t>
        </is>
      </c>
      <c r="B16" s="10" t="n">
        <v>0</v>
      </c>
      <c r="C16" s="10" t="inlineStr">
        <is>
          <t>12-10-2026</t>
        </is>
      </c>
      <c r="D16" s="10" t="inlineStr">
        <is>
          <t>Revisión interna (autor)</t>
        </is>
      </c>
      <c r="E16" s="10" t="inlineStr">
        <is>
          <t>Informe</t>
        </is>
      </c>
      <c r="F16" s="10" t="inlineStr">
        <is>
          <t>El informe se leía técnico y pegado, sin hilo</t>
        </is>
      </c>
      <c r="G16" s="10" t="inlineStr">
        <is>
          <t>«el informe no es amigable… tengo una skill de informes que no usaste»</t>
        </is>
      </c>
      <c r="H16" s="10" t="inlineStr">
        <is>
          <t>Alta</t>
        </is>
      </c>
      <c r="I16" s="10" t="inlineStr">
        <is>
          <t>Alto</t>
        </is>
      </c>
      <c r="J16" s="10" t="inlineStr">
        <is>
          <t>Alta</t>
        </is>
      </c>
      <c r="K16" s="11" t="n">
        <v>3</v>
      </c>
      <c r="L16" s="10" t="inlineStr">
        <is>
          <t>Informe en HTML con el sistema visual de la skill: hilo narrativo, aire, una idea fuerte por párrafo y matrices en anexos</t>
        </is>
      </c>
      <c r="M16" s="10" t="inlineStr">
        <is>
          <t>1.3</t>
        </is>
      </c>
      <c r="N16" s="6" t="inlineStr">
        <is>
          <t>Incorporado</t>
        </is>
      </c>
    </row>
    <row r="17">
      <c r="A17" s="5" t="inlineStr">
        <is>
          <t>H13</t>
        </is>
      </c>
      <c r="B17" s="10" t="n">
        <v>0</v>
      </c>
      <c r="C17" s="10" t="inlineStr">
        <is>
          <t>12-10-2026</t>
        </is>
      </c>
      <c r="D17" s="10" t="inlineStr">
        <is>
          <t>Revisión interna (autor)</t>
        </is>
      </c>
      <c r="E17" s="10" t="inlineStr">
        <is>
          <t>Diagramas</t>
        </is>
      </c>
      <c r="F17" s="10" t="inlineStr">
        <is>
          <t>Blueprint dibujado como embudo; diagramas enredados</t>
        </is>
      </c>
      <c r="G17" s="10" t="inlineStr">
        <is>
          <t>«flywheel vs funnel es un error técnico»</t>
        </is>
      </c>
      <c r="H17" s="10" t="inlineStr">
        <is>
          <t>Alta</t>
        </is>
      </c>
      <c r="I17" s="10" t="inlineStr">
        <is>
          <t>Alto</t>
        </is>
      </c>
      <c r="J17" s="10" t="inlineStr">
        <is>
          <t>Alta</t>
        </is>
      </c>
      <c r="K17" s="11" t="n">
        <v>3</v>
      </c>
      <c r="L17" s="10" t="inlineStr">
        <is>
          <t>Blueprint sobre el flywheel con el embudo adentro; máximo 3 carriles y pasos numerados</t>
        </is>
      </c>
      <c r="M17" s="10" t="inlineStr">
        <is>
          <t>v11</t>
        </is>
      </c>
      <c r="N17" s="6" t="inlineStr">
        <is>
          <t>Incorporado</t>
        </is>
      </c>
    </row>
    <row r="18">
      <c r="A18" s="5" t="inlineStr">
        <is>
          <t>H14</t>
        </is>
      </c>
      <c r="B18" s="10" t="n">
        <v>0</v>
      </c>
      <c r="C18" s="10" t="inlineStr">
        <is>
          <t>12-10-2026</t>
        </is>
      </c>
      <c r="D18" s="10" t="inlineStr">
        <is>
          <t>Revisión interna (autor)</t>
        </is>
      </c>
      <c r="E18" s="10" t="inlineStr">
        <is>
          <t>Wireframes</t>
        </is>
      </c>
      <c r="F18" s="10" t="inlineStr">
        <is>
          <t>Los wireframes mostraban la multimedia en gris</t>
        </is>
      </c>
      <c r="G18" s="10" t="inlineStr">
        <is>
          <t>Pidió solo cajas «foto» o «video»</t>
        </is>
      </c>
      <c r="H18" s="10" t="inlineStr">
        <is>
          <t>Media</t>
        </is>
      </c>
      <c r="I18" s="10" t="inlineStr">
        <is>
          <t>Medio</t>
        </is>
      </c>
      <c r="J18" s="10" t="inlineStr">
        <is>
          <t>Alta</t>
        </is>
      </c>
      <c r="K18" s="11" t="n">
        <v>2</v>
      </c>
      <c r="L18" s="10" t="inlineStr">
        <is>
          <t>Cajas FOTO y VIDEO con su descripción y comportamiento al scroll</t>
        </is>
      </c>
      <c r="M18" s="10" t="inlineStr">
        <is>
          <t>v5</t>
        </is>
      </c>
      <c r="N18" s="6" t="inlineStr">
        <is>
          <t>Incorporado</t>
        </is>
      </c>
    </row>
    <row r="19">
      <c r="A19" s="5" t="inlineStr">
        <is>
          <t>H15</t>
        </is>
      </c>
      <c r="B19" s="10" t="n">
        <v>0</v>
      </c>
      <c r="C19" s="10" t="inlineStr">
        <is>
          <t>12-10-2026</t>
        </is>
      </c>
      <c r="D19" s="10" t="inlineStr">
        <is>
          <t>Revisión interna (autor)</t>
        </is>
      </c>
      <c r="E19" s="10" t="inlineStr">
        <is>
          <t>C02–C09</t>
        </is>
      </c>
      <c r="F19" s="10" t="inlineStr">
        <is>
          <t>Faltaban CTA con resultado y lead magnets claros</t>
        </is>
      </c>
      <c r="G19" s="10" t="inlineStr">
        <is>
          <t>Pidió CTA concretos y lead magnets en el prototipo</t>
        </is>
      </c>
      <c r="H19" s="10" t="inlineStr">
        <is>
          <t>Alta</t>
        </is>
      </c>
      <c r="I19" s="10" t="inlineStr">
        <is>
          <t>Alto</t>
        </is>
      </c>
      <c r="J19" s="10" t="inlineStr">
        <is>
          <t>Alta</t>
        </is>
      </c>
      <c r="K19" s="11" t="n">
        <v>3</v>
      </c>
      <c r="L19" s="10" t="inlineStr">
        <is>
          <t>CTA con resultado explícito y nota debajo; LM antes de cada esfuerzo</t>
        </is>
      </c>
      <c r="M19" s="10" t="inlineStr">
        <is>
          <t>v5</t>
        </is>
      </c>
      <c r="N19" s="6" t="inlineStr">
        <is>
          <t>Incorporado</t>
        </is>
      </c>
    </row>
    <row r="20">
      <c r="A20" s="5" t="inlineStr">
        <is>
          <t>H16</t>
        </is>
      </c>
      <c r="B20" s="10" t="n">
        <v>0</v>
      </c>
      <c r="C20" s="10" t="inlineStr">
        <is>
          <t>12-10-2026</t>
        </is>
      </c>
      <c r="D20" s="10" t="inlineStr">
        <is>
          <t>Revisión interna (autor)</t>
        </is>
      </c>
      <c r="E20" s="10" t="inlineStr">
        <is>
          <t>CRM</t>
        </is>
      </c>
      <c r="F20" s="10" t="inlineStr">
        <is>
          <t>Un solo menú para todos los roles</t>
        </is>
      </c>
      <c r="G20" s="10" t="inlineStr">
        <is>
          <t>Ventas, marketing y jefatura necesitan datos distintos</t>
        </is>
      </c>
      <c r="H20" s="10" t="inlineStr">
        <is>
          <t>Alta</t>
        </is>
      </c>
      <c r="I20" s="10" t="inlineStr">
        <is>
          <t>Alto</t>
        </is>
      </c>
      <c r="J20" s="10" t="inlineStr">
        <is>
          <t>Alta</t>
        </is>
      </c>
      <c r="K20" s="11" t="n">
        <v>3</v>
      </c>
      <c r="L20" s="10" t="inlineStr">
        <is>
          <t>R00 ingreso de trabajadores (usuario y contraseña) y un menú propio por rol; métricas generales solo jefatura</t>
        </is>
      </c>
      <c r="M20" s="10" t="inlineStr">
        <is>
          <t>v5</t>
        </is>
      </c>
      <c r="N20" s="6" t="inlineStr">
        <is>
          <t>Incorporado</t>
        </is>
      </c>
    </row>
    <row r="21">
      <c r="A21" s="5" t="inlineStr">
        <is>
          <t>H17</t>
        </is>
      </c>
      <c r="B21" s="10" t="n">
        <v>0</v>
      </c>
      <c r="C21" s="10" t="inlineStr">
        <is>
          <t>12-10-2026</t>
        </is>
      </c>
      <c r="D21" s="10" t="inlineStr">
        <is>
          <t>Revisión interna (autor)</t>
        </is>
      </c>
      <c r="E21" s="10" t="inlineStr">
        <is>
          <t>C08</t>
        </is>
      </c>
      <c r="F21" s="10" t="inlineStr">
        <is>
          <t>Los casos eran un video en una tarjeta al lado del texto</t>
        </is>
      </c>
      <c r="G21" s="10" t="inlineStr">
        <is>
          <t>Pidió una experiencia premium animada con el scroll</t>
        </is>
      </c>
      <c r="H21" s="10" t="inlineStr">
        <is>
          <t>Media</t>
        </is>
      </c>
      <c r="I21" s="10" t="inlineStr">
        <is>
          <t>Alto</t>
        </is>
      </c>
      <c r="J21" s="10" t="inlineStr">
        <is>
          <t>Alta</t>
        </is>
      </c>
      <c r="K21" s="11" t="n">
        <v>3</v>
      </c>
      <c r="L21" s="10" t="inlineStr">
        <is>
          <t>Escenas a pantalla completa que avanzan y retroceden con el scroll</t>
        </is>
      </c>
      <c r="M21" s="10" t="inlineStr">
        <is>
          <t>v5</t>
        </is>
      </c>
      <c r="N21" s="6" t="inlineStr">
        <is>
          <t>Incorporado</t>
        </is>
      </c>
    </row>
    <row r="22">
      <c r="A22" s="5" t="inlineStr">
        <is>
          <t>H18</t>
        </is>
      </c>
      <c r="B22" s="10" t="n">
        <v>0</v>
      </c>
      <c r="C22" s="10" t="inlineStr">
        <is>
          <t>12-10-2026</t>
        </is>
      </c>
      <c r="D22" s="10" t="inlineStr">
        <is>
          <t>Revisión interna (autor)</t>
        </is>
      </c>
      <c r="E22" s="10" t="inlineStr">
        <is>
          <t>C02, C07</t>
        </is>
      </c>
      <c r="F22" s="10" t="inlineStr">
        <is>
          <t>No se mostraban máquinas ni servicios para subir el ticket</t>
        </is>
      </c>
      <c r="G22" s="10" t="inlineStr">
        <is>
          <t>Pidió máquinas con foto y servicios como catering con branding y eventos</t>
        </is>
      </c>
      <c r="H22" s="10" t="inlineStr">
        <is>
          <t>Alta</t>
        </is>
      </c>
      <c r="I22" s="10" t="inlineStr">
        <is>
          <t>Alto</t>
        </is>
      </c>
      <c r="J22" s="10" t="inlineStr">
        <is>
          <t>Alta</t>
        </is>
      </c>
      <c r="K22" s="11" t="n">
        <v>3</v>
      </c>
      <c r="L22" s="10" t="inlineStr">
        <is>
          <t>4 máquinas oficiales por tipo de solución y 7 servicios con foto y rango supuesto</t>
        </is>
      </c>
      <c r="M22" s="10" t="inlineStr">
        <is>
          <t>v5</t>
        </is>
      </c>
      <c r="N22" s="6" t="inlineStr">
        <is>
          <t>Incorporado</t>
        </is>
      </c>
    </row>
    <row r="23">
      <c r="A23" s="5" t="inlineStr">
        <is>
          <t>H19</t>
        </is>
      </c>
      <c r="B23" s="10" t="n">
        <v>0</v>
      </c>
      <c r="C23" s="10" t="inlineStr">
        <is>
          <t>12-10-2026</t>
        </is>
      </c>
      <c r="D23" s="10" t="inlineStr">
        <is>
          <t>Revisión interna (autor)</t>
        </is>
      </c>
      <c r="E23" s="10" t="inlineStr">
        <is>
          <t>Todo el sitio</t>
        </is>
      </c>
      <c r="F23" s="10" t="inlineStr">
        <is>
          <t>No cargaban las fuentes de Marley Coffee y el amarillo no era el oficial</t>
        </is>
      </c>
      <c r="G23" s="10" t="inlineStr">
        <is>
          <t>«el branding de marley coffee es ley (fuentes, colores)»</t>
        </is>
      </c>
      <c r="H23" s="10" t="inlineStr">
        <is>
          <t>Alta</t>
        </is>
      </c>
      <c r="I23" s="10" t="inlineStr">
        <is>
          <t>Alto</t>
        </is>
      </c>
      <c r="J23" s="10" t="inlineStr">
        <is>
          <t>Alta</t>
        </is>
      </c>
      <c r="K23" s="11" t="n">
        <v>4</v>
      </c>
      <c r="L23" s="10" t="inlineStr">
        <is>
          <t>Festivo y GT Pressura desde el servidor oficial; amarillo #F7BE00</t>
        </is>
      </c>
      <c r="M23" s="10" t="inlineStr">
        <is>
          <t>v5</t>
        </is>
      </c>
      <c r="N23" s="6" t="inlineStr">
        <is>
          <t>Incorporado</t>
        </is>
      </c>
    </row>
    <row r="24">
      <c r="A24" s="5" t="inlineStr">
        <is>
          <t>H20</t>
        </is>
      </c>
      <c r="B24" s="10" t="n">
        <v>0</v>
      </c>
      <c r="C24" s="10" t="inlineStr">
        <is>
          <t>12-10-2026</t>
        </is>
      </c>
      <c r="D24" s="10" t="inlineStr">
        <is>
          <t>Revisión interna (autor)</t>
        </is>
      </c>
      <c r="E24" s="10" t="inlineStr">
        <is>
          <t>C06, R02</t>
        </is>
      </c>
      <c r="F24" s="10" t="inlineStr">
        <is>
          <t>La intranet no cambiaba tras el primer contacto; la llamada no tenía ficha ni notas</t>
        </is>
      </c>
      <c r="G24" s="10" t="inlineStr">
        <is>
          <t>Pidió estados que suban la fidelidad y llamada en vivo con datos y notas</t>
        </is>
      </c>
      <c r="H24" s="10" t="inlineStr">
        <is>
          <t>Alta</t>
        </is>
      </c>
      <c r="I24" s="10" t="inlineStr">
        <is>
          <t>Alto</t>
        </is>
      </c>
      <c r="J24" s="10" t="inlineStr">
        <is>
          <t>Alta</t>
        </is>
      </c>
      <c r="K24" s="11" t="n">
        <v>3</v>
      </c>
      <c r="L24" s="10" t="inlineStr">
        <is>
          <t>Portal en 5 estados; panel de llamada con ficha y notas que el cliente ve en vivo</t>
        </is>
      </c>
      <c r="M24" s="10" t="inlineStr">
        <is>
          <t>v5</t>
        </is>
      </c>
      <c r="N24" s="6" t="inlineStr">
        <is>
          <t>Incorporado</t>
        </is>
      </c>
    </row>
    <row r="25">
      <c r="A25" s="5" t="inlineStr">
        <is>
          <t>H21</t>
        </is>
      </c>
      <c r="B25" s="10" t="n">
        <v>0</v>
      </c>
      <c r="C25" s="10" t="inlineStr">
        <is>
          <t>12-10-2026</t>
        </is>
      </c>
      <c r="D25" s="10" t="inlineStr">
        <is>
          <t>Revisión interna (autor)</t>
        </is>
      </c>
      <c r="E25" s="10" t="inlineStr">
        <is>
          <t>C07</t>
        </is>
      </c>
      <c r="F25" s="10" t="inlineStr">
        <is>
          <t>No había precios para cotizar la máquina</t>
        </is>
      </c>
      <c r="G25" s="10" t="inlineStr">
        <is>
          <t>Pidió rangos por tipo de solución (supuestos rotulados)</t>
        </is>
      </c>
      <c r="H25" s="10" t="inlineStr">
        <is>
          <t>Alta</t>
        </is>
      </c>
      <c r="I25" s="10" t="inlineStr">
        <is>
          <t>Alto</t>
        </is>
      </c>
      <c r="J25" s="10" t="inlineStr">
        <is>
          <t>Alta</t>
        </is>
      </c>
      <c r="K25" s="11" t="n">
        <v>3</v>
      </c>
      <c r="L25" s="10" t="inlineStr">
        <is>
          <t>Cotizador: máquina → modalidad → consumo → servicios con rango al instante</t>
        </is>
      </c>
      <c r="M25" s="10" t="inlineStr">
        <is>
          <t>v5</t>
        </is>
      </c>
      <c r="N25" s="6" t="inlineStr">
        <is>
          <t>Incorporado</t>
        </is>
      </c>
    </row>
    <row r="26">
      <c r="A26" s="5" t="inlineStr">
        <is>
          <t>H22</t>
        </is>
      </c>
      <c r="B26" s="10" t="n">
        <v>1</v>
      </c>
      <c r="C26" s="10" t="inlineStr">
        <is>
          <t>15-10-2026</t>
        </is>
      </c>
      <c r="D26" s="10" t="inlineStr">
        <is>
          <t>Test ronda 1 · P2, P3</t>
        </is>
      </c>
      <c r="E26" s="10" t="inlineStr">
        <is>
          <t>C01 · T1</t>
        </is>
      </c>
      <c r="F26" s="10" t="inlineStr">
        <is>
          <t>En el celular no se ve la entrada a Empresas: está dentro del menú de la tienda</t>
        </is>
      </c>
      <c r="G26" s="10" t="inlineStr">
        <is>
          <t>2 de 2 en celular no encontraron el menú; P2 necesitó ayuda; P3 tocó primero el buscador. Hasta Empresas: 15,5 s en celular vs 10,2 s en computador</t>
        </is>
      </c>
      <c r="H26" s="10" t="inlineStr">
        <is>
          <t>2 de 2 (celular)</t>
        </is>
      </c>
      <c r="I26" s="10" t="inlineStr">
        <is>
          <t>Alto</t>
        </is>
      </c>
      <c r="J26" s="10" t="inlineStr">
        <is>
          <t>Alta</t>
        </is>
      </c>
      <c r="K26" s="11" t="n">
        <v>3</v>
      </c>
      <c r="L26" s="10" t="inlineStr">
        <is>
          <t>«MENÚ» visible bajo el ícono y franja «¿Compras para tu negocio? Empresas →» bajo el encabezado</t>
        </is>
      </c>
      <c r="M26" s="10" t="inlineStr">
        <is>
          <t>v6</t>
        </is>
      </c>
      <c r="N26" s="6" t="inlineStr">
        <is>
          <t>Incorporado en v6; medir en ronda 2</t>
        </is>
      </c>
    </row>
    <row r="27">
      <c r="A27" s="5" t="inlineStr">
        <is>
          <t>H23</t>
        </is>
      </c>
      <c r="B27" s="10" t="n">
        <v>1</v>
      </c>
      <c r="C27" s="10" t="inlineStr">
        <is>
          <t>15-10-2026</t>
        </is>
      </c>
      <c r="D27" s="10" t="inlineStr">
        <is>
          <t>Test ronda 1 · P1, P2, P3</t>
        </is>
      </c>
      <c r="E27" s="10" t="inlineStr">
        <is>
          <t>C03 · T1</t>
        </is>
      </c>
      <c r="F27" s="10" t="inlineStr">
        <is>
          <t>Se pedían los datos antes de dar valor (formulario antes de las preguntas y de la solución)</t>
        </is>
      </c>
      <c r="G27" s="10" t="inlineStr">
        <is>
          <t>La pantalla más lenta para 2 de 3 (47,6 s y 44,4 s); P3: 50,5 s; solo el correo tomó 15 a 21 s; P3 pidió el +56 9 ya escrito</t>
        </is>
      </c>
      <c r="H27" s="10" t="inlineStr">
        <is>
          <t>3 de 3</t>
        </is>
      </c>
      <c r="I27" s="10" t="inlineStr">
        <is>
          <t>Alto</t>
        </is>
      </c>
      <c r="J27" s="10" t="inlineStr">
        <is>
          <t>Alta</t>
        </is>
      </c>
      <c r="K27" s="11" t="n">
        <v>3</v>
      </c>
      <c r="L27" s="10" t="inlineStr">
        <is>
          <t>Formulario corto al principio (v6.1): 3 datos, +56 9 escrito, autocompletar y la comuna pasa al paso 2; se mantiene antes del diagnóstico para recuperar a quien abandona (decisión de negocio, 15-10)</t>
        </is>
      </c>
      <c r="M27" s="10" t="inlineStr">
        <is>
          <t>v6.1</t>
        </is>
      </c>
      <c r="N27" s="6" t="inlineStr">
        <is>
          <t>Incorporado en v6.1; medir en ronda 2</t>
        </is>
      </c>
    </row>
    <row r="28">
      <c r="A28" s="5" t="inlineStr">
        <is>
          <t>H24</t>
        </is>
      </c>
      <c r="B28" s="10" t="n">
        <v>1</v>
      </c>
      <c r="C28" s="10" t="inlineStr">
        <is>
          <t>15-10-2026</t>
        </is>
      </c>
      <c r="D28" s="10" t="inlineStr">
        <is>
          <t>Test ronda 1 · P1, P3</t>
        </is>
      </c>
      <c r="E28" s="10" t="inlineStr">
        <is>
          <t>C05–C07 · T1</t>
        </is>
      </c>
      <c r="F28" s="10" t="inlineStr">
        <is>
          <t>La modalidad y los extras aparecían después de la propuesta</t>
        </is>
      </c>
      <c r="G28" s="10" t="inlineStr">
        <is>
          <t>P1: «sentía que era mejor hacerlo antes de que le dieran una propuesta»; P3 quería ver antes las opciones del ajuste</t>
        </is>
      </c>
      <c r="H28" s="10" t="inlineStr">
        <is>
          <t>2 de 3</t>
        </is>
      </c>
      <c r="I28" s="10" t="inlineStr">
        <is>
          <t>Alto</t>
        </is>
      </c>
      <c r="J28" s="10" t="inlineStr">
        <is>
          <t>Alta</t>
        </is>
      </c>
      <c r="K28" s="11" t="n">
        <v>3</v>
      </c>
      <c r="L28" s="10" t="inlineStr">
        <is>
          <t>Propuesta al instante con la modalidad elegible ahí mismo y los extras como recomendación apagada</t>
        </is>
      </c>
      <c r="M28" s="10" t="inlineStr">
        <is>
          <t>v6</t>
        </is>
      </c>
      <c r="N28" s="6" t="inlineStr">
        <is>
          <t>Incorporado en v6; medir en ronda 2</t>
        </is>
      </c>
    </row>
    <row r="29">
      <c r="A29" s="5" t="inlineStr">
        <is>
          <t>H25</t>
        </is>
      </c>
      <c r="B29" s="10" t="n">
        <v>1</v>
      </c>
      <c r="C29" s="10" t="inlineStr">
        <is>
          <t>15-10-2026</t>
        </is>
      </c>
      <c r="D29" s="10" t="inlineStr">
        <is>
          <t>Test ronda 1 · P2, P3</t>
        </is>
      </c>
      <c r="E29" s="10" t="inlineStr">
        <is>
          <t>C05–C07 · T1</t>
        </is>
      </c>
      <c r="F29" s="10" t="inlineStr">
        <is>
          <t>Después de elegir no quedaba claro qué seguía y había esperas que se sentían inútiles</t>
        </is>
      </c>
      <c r="G29" s="10" t="inlineStr">
        <is>
          <t>P2 «se perdió en qué hacer»; P3 sintió como pérdida de tiempo esperar la «nueva propuesta» al ajustar</t>
        </is>
      </c>
      <c r="H29" s="10" t="inlineStr">
        <is>
          <t>2 de 3</t>
        </is>
      </c>
      <c r="I29" s="10" t="inlineStr">
        <is>
          <t>Alto</t>
        </is>
      </c>
      <c r="J29" s="10" t="inlineStr">
        <is>
          <t>Alta</t>
        </is>
      </c>
      <c r="K29" s="11" t="n">
        <v>3</v>
      </c>
      <c r="L29" s="10" t="inlineStr">
        <is>
          <t>«¡Listo!» con quién escribe, por dónde, cuándo y 3 pasos; ajustes al instante sin espera</t>
        </is>
      </c>
      <c r="M29" s="10" t="inlineStr">
        <is>
          <t>v6</t>
        </is>
      </c>
      <c r="N29" s="6" t="inlineStr">
        <is>
          <t>Incorporado en v6; medir en ronda 2</t>
        </is>
      </c>
    </row>
    <row r="30">
      <c r="A30" s="5" t="inlineStr">
        <is>
          <t>H26</t>
        </is>
      </c>
      <c r="B30" s="10" t="n">
        <v>1</v>
      </c>
      <c r="C30" s="10" t="inlineStr">
        <is>
          <t>15-10-2026</t>
        </is>
      </c>
      <c r="D30" s="10" t="inlineStr">
        <is>
          <t>Test ronda 1 · P2, P3</t>
        </is>
      </c>
      <c r="E30" s="10" t="inlineStr">
        <is>
          <t>C02 · T1</t>
        </is>
      </c>
      <c r="F30" s="10" t="inlineStr">
        <is>
          <t>El botón de la solución estaba arriba, antes de los productos, y la tarjeta del negocio no respondía</t>
        </is>
      </c>
      <c r="G30" s="10" t="inlineStr">
        <is>
          <t>P3 se saltó la información y luego preguntó por los productos; P2 tocó «Café para restaurantes» esperando que se abriera</t>
        </is>
      </c>
      <c r="H30" s="10" t="inlineStr">
        <is>
          <t>2 de 3</t>
        </is>
      </c>
      <c r="I30" s="10" t="inlineStr">
        <is>
          <t>Medio</t>
        </is>
      </c>
      <c r="J30" s="10" t="inlineStr">
        <is>
          <t>Alta</t>
        </is>
      </c>
      <c r="K30" s="11" t="n">
        <v>2</v>
      </c>
      <c r="L30" s="10" t="inlineStr">
        <is>
          <t>Máquinas primero; «Ver mi solución» aparece después del carrusel; tarjetas de solución que abren el cotizador o marcan interés</t>
        </is>
      </c>
      <c r="M30" s="10" t="inlineStr">
        <is>
          <t>v6</t>
        </is>
      </c>
      <c r="N30" s="6" t="inlineStr">
        <is>
          <t>Incorporado en v6; medir en ronda 2</t>
        </is>
      </c>
    </row>
    <row r="31">
      <c r="A31" s="5" t="inlineStr">
        <is>
          <t>H27</t>
        </is>
      </c>
      <c r="B31" s="10" t="n">
        <v>1</v>
      </c>
      <c r="C31" s="10" t="inlineStr">
        <is>
          <t>15-10-2026</t>
        </is>
      </c>
      <c r="D31" s="10" t="inlineStr">
        <is>
          <t>Test ronda 1 · P2</t>
        </is>
      </c>
      <c r="E31" s="10" t="inlineStr">
        <is>
          <t>C02 · T1</t>
        </is>
      </c>
      <c r="F31" s="10" t="inlineStr">
        <is>
          <t>Tres escenas seguidas al bajar en la portada son muchas</t>
        </is>
      </c>
      <c r="G31" s="10" t="inlineStr">
        <is>
          <t>P2: «3 pantallas ahí era mucho» y no vio la segunda</t>
        </is>
      </c>
      <c r="H31" s="10" t="inlineStr">
        <is>
          <t>1 de 3</t>
        </is>
      </c>
      <c r="I31" s="10" t="inlineStr">
        <is>
          <t>Medio</t>
        </is>
      </c>
      <c r="J31" s="10" t="inlineStr">
        <is>
          <t>Media</t>
        </is>
      </c>
      <c r="K31" s="11" t="n">
        <v>2</v>
      </c>
      <c r="L31" s="10" t="inlineStr">
        <is>
          <t>Portada en 2 momentos, más corta (200 vh; 170 vh en celular), con la atención en vivo en una línea abajo</t>
        </is>
      </c>
      <c r="M31" s="10" t="inlineStr">
        <is>
          <t>v6</t>
        </is>
      </c>
      <c r="N31" s="6" t="inlineStr">
        <is>
          <t>Incorporado en v6</t>
        </is>
      </c>
    </row>
    <row r="32">
      <c r="A32" s="5" t="inlineStr">
        <is>
          <t>H28</t>
        </is>
      </c>
      <c r="B32" s="10" t="n">
        <v>1</v>
      </c>
      <c r="C32" s="10" t="inlineStr">
        <is>
          <t>15-10-2026</t>
        </is>
      </c>
      <c r="D32" s="10" t="inlineStr">
        <is>
          <t>Test ronda 1 · P1, P2</t>
        </is>
      </c>
      <c r="E32" s="10" t="inlineStr">
        <is>
          <t>C04 · T1</t>
        </is>
      </c>
      <c r="F32" s="10" t="inlineStr">
        <is>
          <t>Las preguntas se sentían largas y faltaba «elegir todas»</t>
        </is>
      </c>
      <c r="G32" s="10" t="inlineStr">
        <is>
          <t>P2: «podría haber sido más resumida» y «faltaba un botón que seleccionara todo»; 13 a 14 toques en las bebidas</t>
        </is>
      </c>
      <c r="H32" s="10" t="inlineStr">
        <is>
          <t>2 de 3</t>
        </is>
      </c>
      <c r="I32" s="10" t="inlineStr">
        <is>
          <t>Medio</t>
        </is>
      </c>
      <c r="J32" s="10" t="inlineStr">
        <is>
          <t>Alta</t>
        </is>
      </c>
      <c r="K32" s="11" t="n">
        <v>2</v>
      </c>
      <c r="L32" s="10" t="inlineStr">
        <is>
          <t>3 pasos que se marcan; negocio que no se repite; lo típico ya marcado; «Todas»</t>
        </is>
      </c>
      <c r="M32" s="10" t="inlineStr">
        <is>
          <t>v6</t>
        </is>
      </c>
      <c r="N32" s="6" t="inlineStr">
        <is>
          <t>Incorporado en v6; medir en ronda 2</t>
        </is>
      </c>
    </row>
    <row r="33">
      <c r="A33" s="5" t="inlineStr">
        <is>
          <t>H29</t>
        </is>
      </c>
      <c r="B33" s="10" t="n">
        <v>1</v>
      </c>
      <c r="C33" s="10" t="inlineStr">
        <is>
          <t>15-10-2026</t>
        </is>
      </c>
      <c r="D33" s="10" t="inlineStr">
        <is>
          <t>Test ronda 1 · P2</t>
        </is>
      </c>
      <c r="E33" s="10" t="inlineStr">
        <is>
          <t>C04, C06, C07 · celular</t>
        </is>
      </c>
      <c r="F33" s="10" t="inlineStr">
        <is>
          <t>Al avanzar dentro de una misma pantalla la vista no subía y los botones «se perdían»</t>
        </is>
      </c>
      <c r="G33" s="10" t="inlineStr">
        <is>
          <t>P2: «no se posicionaba automáticamente arriba»</t>
        </is>
      </c>
      <c r="H33" s="10" t="inlineStr">
        <is>
          <t>1 de 2 (celular)</t>
        </is>
      </c>
      <c r="I33" s="10" t="inlineStr">
        <is>
          <t>Medio</t>
        </is>
      </c>
      <c r="J33" s="10" t="inlineStr">
        <is>
          <t>Alta</t>
        </is>
      </c>
      <c r="K33" s="11" t="n">
        <v>2</v>
      </c>
      <c r="L33" s="10" t="inlineStr">
        <is>
          <t>Cada paso y cada cambio de pantalla parte desde arriba</t>
        </is>
      </c>
      <c r="M33" s="10" t="inlineStr">
        <is>
          <t>v6</t>
        </is>
      </c>
      <c r="N33" s="6" t="inlineStr">
        <is>
          <t>Incorporado en v6</t>
        </is>
      </c>
    </row>
    <row r="34">
      <c r="A34" s="5" t="inlineStr">
        <is>
          <t>H30</t>
        </is>
      </c>
      <c r="B34" s="10" t="n">
        <v>1</v>
      </c>
      <c r="C34" s="10" t="inlineStr">
        <is>
          <t>15-10-2026</t>
        </is>
      </c>
      <c r="D34" s="10" t="inlineStr">
        <is>
          <t>Test ronda 1 · P3</t>
        </is>
      </c>
      <c r="E34" s="10" t="inlineStr">
        <is>
          <t>C07 · T1</t>
        </is>
      </c>
      <c r="F34" s="10" t="inlineStr">
        <is>
          <t>Los precios se notaban poco</t>
        </is>
      </c>
      <c r="G34" s="10" t="inlineStr">
        <is>
          <t>P3: «le hubiese gustado ver los precios de manera más clara»; C07 fue su pantalla más larga (57,3 s)</t>
        </is>
      </c>
      <c r="H34" s="10" t="inlineStr">
        <is>
          <t>1 de 3</t>
        </is>
      </c>
      <c r="I34" s="10" t="inlineStr">
        <is>
          <t>Medio</t>
        </is>
      </c>
      <c r="J34" s="10" t="inlineStr">
        <is>
          <t>Media</t>
        </is>
      </c>
      <c r="K34" s="11" t="n">
        <v>2</v>
      </c>
      <c r="L34" s="10" t="inlineStr">
        <is>
          <t>Precio mensual grande, en color de marca y primero en el resumen</t>
        </is>
      </c>
      <c r="M34" s="10" t="inlineStr">
        <is>
          <t>v6</t>
        </is>
      </c>
      <c r="N34" s="6" t="inlineStr">
        <is>
          <t>Incorporado en v6</t>
        </is>
      </c>
    </row>
    <row r="35">
      <c r="A35" s="5" t="inlineStr">
        <is>
          <t>H31</t>
        </is>
      </c>
      <c r="B35" s="10" t="n">
        <v>1</v>
      </c>
      <c r="C35" s="10" t="inlineStr">
        <is>
          <t>15-10-2026</t>
        </is>
      </c>
      <c r="D35" s="10" t="inlineStr">
        <is>
          <t>Test ronda 1 · P4</t>
        </is>
      </c>
      <c r="E35" s="10" t="inlineStr">
        <is>
          <t>R02, R04 · T7</t>
        </is>
      </c>
      <c r="F35" s="10" t="inlineStr">
        <is>
          <t>La ejecutiva no veía lo que cotizó el cliente ni una propuesta sugerida</t>
        </is>
      </c>
      <c r="G35" s="10" t="inlineStr">
        <is>
          <t>P4 no logró la tarea (facilidad 2, SUS 27,5); pasó 74,4 s en Conversaciones y fue dos veces a la ficha</t>
        </is>
      </c>
      <c r="H35" s="10" t="inlineStr">
        <is>
          <t>1 de 1 (ventas)</t>
        </is>
      </c>
      <c r="I35" s="10" t="inlineStr">
        <is>
          <t>Crítico</t>
        </is>
      </c>
      <c r="J35" s="10" t="inlineStr">
        <is>
          <t>Alta</t>
        </is>
      </c>
      <c r="K35" s="11" t="n">
        <v>4</v>
      </c>
      <c r="L35" s="10" t="inlineStr">
        <is>
          <t>«Lo que cotizó el cliente» en vivo junto al chat y tarjeta del agente de ventas con «Enviar propuesta sugerida»</t>
        </is>
      </c>
      <c r="M35" s="10" t="inlineStr">
        <is>
          <t>v6</t>
        </is>
      </c>
      <c r="N35" s="6" t="inlineStr">
        <is>
          <t>Incorporado en v6; medir en ronda 2</t>
        </is>
      </c>
    </row>
    <row r="36">
      <c r="A36" s="5" t="inlineStr">
        <is>
          <t>H32</t>
        </is>
      </c>
      <c r="B36" s="10" t="n">
        <v>1</v>
      </c>
      <c r="C36" s="10" t="inlineStr">
        <is>
          <t>15-10-2026</t>
        </is>
      </c>
      <c r="D36" s="10" t="inlineStr">
        <is>
          <t>Test ronda 1 · P4, P5</t>
        </is>
      </c>
      <c r="E36" s="10" t="inlineStr">
        <is>
          <t>R02, R04, R05</t>
        </is>
      </c>
      <c r="F36" s="10" t="inlineStr">
        <is>
          <t>Muchas cosas parecían botones y no hacían nada</t>
        </is>
      </c>
      <c r="G36" s="10" t="inlineStr">
        <is>
          <t>19 de 33 toques sin respuesta (58 %): tarjeta del cliente ×5, indicadores ×8, campana ×3, espacio entre botones ×2</t>
        </is>
      </c>
      <c r="H36" s="10" t="inlineStr">
        <is>
          <t>2 de 2 (equipo)</t>
        </is>
      </c>
      <c r="I36" s="10" t="inlineStr">
        <is>
          <t>Alto</t>
        </is>
      </c>
      <c r="J36" s="10" t="inlineStr">
        <is>
          <t>Alta</t>
        </is>
      </c>
      <c r="K36" s="11" t="n">
        <v>3</v>
      </c>
      <c r="L36" s="10" t="inlineStr">
        <is>
          <t>La campana abre los avisos; la tarjeta abre la ficha; cada indicador abre su detalle; la onda del toque ya no agranda los botones</t>
        </is>
      </c>
      <c r="M36" s="10" t="inlineStr">
        <is>
          <t>v6</t>
        </is>
      </c>
      <c r="N36" s="6" t="inlineStr">
        <is>
          <t>Incorporado en v6; medir en ronda 2</t>
        </is>
      </c>
    </row>
    <row r="37">
      <c r="A37" s="5" t="inlineStr">
        <is>
          <t>H33</t>
        </is>
      </c>
      <c r="B37" s="10" t="n">
        <v>1</v>
      </c>
      <c r="C37" s="10" t="inlineStr">
        <is>
          <t>15-10-2026</t>
        </is>
      </c>
      <c r="D37" s="10" t="inlineStr">
        <is>
          <t>Test ronda 1 · P4, P5</t>
        </is>
      </c>
      <c r="E37" s="10" t="inlineStr">
        <is>
          <t>R02, R05</t>
        </is>
      </c>
      <c r="F37" s="10" t="inlineStr">
        <is>
          <t>Sin jerarquía: botones e indicadores con el mismo color y peso</t>
        </is>
      </c>
      <c r="G37" s="10" t="inlineStr">
        <is>
          <t>P4 pidió jerarquía y un color destacado; P5: «todas las tarjetas de información y KPIs tenían el mismo color»</t>
        </is>
      </c>
      <c r="H37" s="10" t="inlineStr">
        <is>
          <t>2 de 2 (equipo)</t>
        </is>
      </c>
      <c r="I37" s="10" t="inlineStr">
        <is>
          <t>Alto</t>
        </is>
      </c>
      <c r="J37" s="10" t="inlineStr">
        <is>
          <t>Alta</t>
        </is>
      </c>
      <c r="K37" s="11" t="n">
        <v>3</v>
      </c>
      <c r="L37" s="10" t="inlineStr">
        <is>
          <t>Acción principal en amarillo; secundarias con contorno; 44 px y 8 px de separación; 3 indicadores principales con color según su tendencia</t>
        </is>
      </c>
      <c r="M37" s="10" t="inlineStr">
        <is>
          <t>v6</t>
        </is>
      </c>
      <c r="N37" s="6" t="inlineStr">
        <is>
          <t>Incorporado en v6</t>
        </is>
      </c>
    </row>
    <row r="38">
      <c r="A38" s="5" t="inlineStr">
        <is>
          <t>H34</t>
        </is>
      </c>
      <c r="B38" s="10" t="n">
        <v>1</v>
      </c>
      <c r="C38" s="10" t="inlineStr">
        <is>
          <t>15-10-2026</t>
        </is>
      </c>
      <c r="D38" s="10" t="inlineStr">
        <is>
          <t>Test ronda 1 · P5</t>
        </is>
      </c>
      <c r="E38" s="10" t="inlineStr">
        <is>
          <t>R05 · T9</t>
        </is>
      </c>
      <c r="F38" s="10" t="inlineStr">
        <is>
          <t>El panel de jefatura no dejaba profundizar ni cruzar datos (y en celular se perdían los gráficos)</t>
        </is>
      </c>
      <c r="G38" s="10" t="inlineStr">
        <is>
          <t>P5 tocó 10 indicadores en 11 s buscando el detalle</t>
        </is>
      </c>
      <c r="H38" s="10" t="inlineStr">
        <is>
          <t>1 de 1 (jefatura)</t>
        </is>
      </c>
      <c r="I38" s="10" t="inlineStr">
        <is>
          <t>Alto</t>
        </is>
      </c>
      <c r="J38" s="10" t="inlineStr">
        <is>
          <t>Alta</t>
        </is>
      </c>
      <c r="K38" s="11" t="n">
        <v>3</v>
      </c>
      <c r="L38" s="10" t="inlineStr">
        <is>
          <t>Filtros de período y zona, detalle al tocar, cruces por zona y tipo de cliente, gráficos y agentes visibles en celular</t>
        </is>
      </c>
      <c r="M38" s="10" t="inlineStr">
        <is>
          <t>v6</t>
        </is>
      </c>
      <c r="N38" s="6" t="inlineStr">
        <is>
          <t>Incorporado en v6; medir en ronda 2</t>
        </is>
      </c>
    </row>
    <row r="39">
      <c r="A39" s="5" t="inlineStr">
        <is>
          <t>H35</t>
        </is>
      </c>
      <c r="B39" s="10" t="n">
        <v>1</v>
      </c>
      <c r="C39" s="10" t="inlineStr">
        <is>
          <t>15-10-2026</t>
        </is>
      </c>
      <c r="D39" s="10" t="inlineStr">
        <is>
          <t>Test ronda 1 · P5</t>
        </is>
      </c>
      <c r="E39" s="10" t="inlineStr">
        <is>
          <t>R00 · T9</t>
        </is>
      </c>
      <c r="F39" s="10" t="inlineStr">
        <is>
          <t>El ingreso no reconoció el usuario escrito</t>
        </is>
      </c>
      <c r="G39" s="10" t="inlineStr">
        <is>
          <t>Tocó «Ingresar» dos veces sin entrar; 24 s en el ingreso; «si bien es un test, debería haber pasado»</t>
        </is>
      </c>
      <c r="H39" s="10" t="inlineStr">
        <is>
          <t>1 de 2</t>
        </is>
      </c>
      <c r="I39" s="10" t="inlineStr">
        <is>
          <t>Medio</t>
        </is>
      </c>
      <c r="J39" s="10" t="inlineStr">
        <is>
          <t>Media</t>
        </is>
      </c>
      <c r="K39" s="11" t="n">
        <v>2</v>
      </c>
      <c r="L39" s="10" t="inlineStr">
        <is>
          <t>Usuario sin distinguir mayúsculas, tildes, espacios ni dominio; sin autocorrector; cuentas de prueba de un toque</t>
        </is>
      </c>
      <c r="M39" s="10" t="inlineStr">
        <is>
          <t>v6</t>
        </is>
      </c>
      <c r="N39" s="6" t="inlineStr">
        <is>
          <t>Incorporado en v6</t>
        </is>
      </c>
    </row>
    <row r="40">
      <c r="A40" s="7" t="inlineStr">
        <is>
          <t>H36</t>
        </is>
      </c>
      <c r="B40" s="14" t="n">
        <v>1</v>
      </c>
      <c r="C40" s="14" t="inlineStr">
        <is>
          <t>15-10-2026</t>
        </is>
      </c>
      <c r="D40" s="14" t="inlineStr">
        <is>
          <t>Test ronda 1 · P4</t>
        </is>
      </c>
      <c r="E40" s="14" t="inlineStr">
        <is>
          <t>R02 · T7</t>
        </is>
      </c>
      <c r="F40" s="14" t="inlineStr">
        <is>
          <t>El chat era chico y no había guía de uso</t>
        </is>
      </c>
      <c r="G40" s="14" t="inlineStr">
        <is>
          <t>P4: «el chat es demasiado pequeño» y pidió un mini tutorial</t>
        </is>
      </c>
      <c r="H40" s="14" t="inlineStr">
        <is>
          <t>1 de 1 (ventas)</t>
        </is>
      </c>
      <c r="I40" s="14" t="inlineStr">
        <is>
          <t>Medio</t>
        </is>
      </c>
      <c r="J40" s="14" t="inlineStr">
        <is>
          <t>Media</t>
        </is>
      </c>
      <c r="K40" s="15" t="n">
        <v>2</v>
      </c>
      <c r="L40" s="14" t="inlineStr">
        <is>
          <t>Chat de 438 a 732 px de ancho (1366 × 900) y guía de 3 pasos que se cierra</t>
        </is>
      </c>
      <c r="M40" s="14" t="inlineStr">
        <is>
          <t>v6</t>
        </is>
      </c>
      <c r="N40" s="8" t="inlineStr">
        <is>
          <t>Incorporado en v6</t>
        </is>
      </c>
    </row>
    <row r="41"/>
    <row r="42"/>
    <row r="43">
      <c r="A43" s="50" t="inlineStr">
        <is>
          <t>Notas del observador (CSV de notas del test integrado). En la ronda 1 no se usaron notas en vivo (0 notas): las observaciones del moderador están resumidas en 08_TEST_REGISTRO (última columna). Completar en la ronda 2.</t>
        </is>
      </c>
    </row>
    <row r="44" ht="30" customHeight="1">
      <c r="A44" s="4" t="inlineStr">
        <is>
          <t>Participante</t>
        </is>
      </c>
      <c r="B44" s="51" t="inlineStr">
        <is>
          <t>Dispositivo</t>
        </is>
      </c>
      <c r="C44" s="51" t="inlineStr">
        <is>
          <t>Tarea</t>
        </is>
      </c>
      <c r="D44" s="51" t="inlineStr">
        <is>
          <t>Minuto</t>
        </is>
      </c>
      <c r="E44" s="51" t="inlineStr">
        <is>
          <t>Tipo (duda / frase / gesto / error / idea)</t>
        </is>
      </c>
      <c r="F44" s="51" t="inlineStr">
        <is>
          <t>Nota del observador</t>
        </is>
      </c>
      <c r="G44" s="51" t="inlineStr">
        <is>
          <t>Pantalla</t>
        </is>
      </c>
      <c r="H44" s="4" t="inlineStr">
        <is>
          <t>Hallazgo asignado (ID)</t>
        </is>
      </c>
    </row>
    <row r="45">
      <c r="A45" s="11" t="inlineStr"/>
      <c r="B45" s="11" t="inlineStr"/>
      <c r="C45" s="11" t="inlineStr"/>
      <c r="D45" s="11" t="inlineStr"/>
      <c r="E45" s="11" t="inlineStr"/>
      <c r="F45" s="11" t="inlineStr"/>
      <c r="G45" s="11" t="inlineStr"/>
      <c r="H45" s="11" t="inlineStr"/>
    </row>
    <row r="46">
      <c r="A46" s="11" t="inlineStr"/>
      <c r="B46" s="11" t="inlineStr"/>
      <c r="C46" s="11" t="inlineStr"/>
      <c r="D46" s="11" t="inlineStr"/>
      <c r="E46" s="11" t="inlineStr"/>
      <c r="F46" s="11" t="inlineStr"/>
      <c r="G46" s="11" t="inlineStr"/>
      <c r="H46" s="11" t="inlineStr"/>
    </row>
    <row r="47">
      <c r="A47" s="11" t="inlineStr"/>
      <c r="B47" s="11" t="inlineStr"/>
      <c r="C47" s="11" t="inlineStr"/>
      <c r="D47" s="11" t="inlineStr"/>
      <c r="E47" s="11" t="inlineStr"/>
      <c r="F47" s="11" t="inlineStr"/>
      <c r="G47" s="11" t="inlineStr"/>
      <c r="H47" s="11" t="inlineStr"/>
    </row>
    <row r="48">
      <c r="A48" s="11" t="inlineStr"/>
      <c r="B48" s="11" t="inlineStr"/>
      <c r="C48" s="11" t="inlineStr"/>
      <c r="D48" s="11" t="inlineStr"/>
      <c r="E48" s="11" t="inlineStr"/>
      <c r="F48" s="11" t="inlineStr"/>
      <c r="G48" s="11" t="inlineStr"/>
      <c r="H48" s="11" t="inlineStr"/>
    </row>
    <row r="49">
      <c r="A49" s="11" t="inlineStr"/>
      <c r="B49" s="11" t="inlineStr"/>
      <c r="C49" s="11" t="inlineStr"/>
      <c r="D49" s="11" t="inlineStr"/>
      <c r="E49" s="11" t="inlineStr"/>
      <c r="F49" s="11" t="inlineStr"/>
      <c r="G49" s="11" t="inlineStr"/>
      <c r="H49" s="11" t="inlineStr"/>
    </row>
    <row r="50">
      <c r="A50" s="11" t="inlineStr"/>
      <c r="B50" s="11" t="inlineStr"/>
      <c r="C50" s="11" t="inlineStr"/>
      <c r="D50" s="11" t="inlineStr"/>
      <c r="E50" s="11" t="inlineStr"/>
      <c r="F50" s="11" t="inlineStr"/>
      <c r="G50" s="11" t="inlineStr"/>
      <c r="H50" s="11" t="inlineStr"/>
    </row>
    <row r="51">
      <c r="A51" s="11" t="inlineStr"/>
      <c r="B51" s="11" t="inlineStr"/>
      <c r="C51" s="11" t="inlineStr"/>
      <c r="D51" s="11" t="inlineStr"/>
      <c r="E51" s="11" t="inlineStr"/>
      <c r="F51" s="11" t="inlineStr"/>
      <c r="G51" s="11" t="inlineStr"/>
      <c r="H51" s="11" t="inlineStr"/>
    </row>
    <row r="52">
      <c r="A52" s="11" t="inlineStr"/>
      <c r="B52" s="11" t="inlineStr"/>
      <c r="C52" s="11" t="inlineStr"/>
      <c r="D52" s="11" t="inlineStr"/>
      <c r="E52" s="11" t="inlineStr"/>
      <c r="F52" s="11" t="inlineStr"/>
      <c r="G52" s="11" t="inlineStr"/>
      <c r="H52" s="11" t="inlineStr"/>
    </row>
    <row r="53">
      <c r="A53" s="11" t="inlineStr"/>
      <c r="B53" s="11" t="inlineStr"/>
      <c r="C53" s="11" t="inlineStr"/>
      <c r="D53" s="11" t="inlineStr"/>
      <c r="E53" s="11" t="inlineStr"/>
      <c r="F53" s="11" t="inlineStr"/>
      <c r="G53" s="11" t="inlineStr"/>
      <c r="H53" s="11" t="inlineStr"/>
    </row>
    <row r="54">
      <c r="A54" s="11" t="inlineStr"/>
      <c r="B54" s="11" t="inlineStr"/>
      <c r="C54" s="11" t="inlineStr"/>
      <c r="D54" s="11" t="inlineStr"/>
      <c r="E54" s="11" t="inlineStr"/>
      <c r="F54" s="11" t="inlineStr"/>
      <c r="G54" s="11" t="inlineStr"/>
      <c r="H54" s="11" t="inlineStr"/>
    </row>
    <row r="55">
      <c r="A55" s="11" t="inlineStr"/>
      <c r="B55" s="11" t="inlineStr"/>
      <c r="C55" s="11" t="inlineStr"/>
      <c r="D55" s="11" t="inlineStr"/>
      <c r="E55" s="11" t="inlineStr"/>
      <c r="F55" s="11" t="inlineStr"/>
      <c r="G55" s="11" t="inlineStr"/>
      <c r="H55" s="11" t="inlineStr"/>
    </row>
    <row r="56">
      <c r="A56" s="11" t="inlineStr"/>
      <c r="B56" s="11" t="inlineStr"/>
      <c r="C56" s="11" t="inlineStr"/>
      <c r="D56" s="11" t="inlineStr"/>
      <c r="E56" s="11" t="inlineStr"/>
      <c r="F56" s="11" t="inlineStr"/>
      <c r="G56" s="11" t="inlineStr"/>
      <c r="H56" s="11" t="inlineStr"/>
    </row>
    <row r="57">
      <c r="A57" s="11" t="inlineStr"/>
      <c r="B57" s="11" t="inlineStr"/>
      <c r="C57" s="11" t="inlineStr"/>
      <c r="D57" s="11" t="inlineStr"/>
      <c r="E57" s="11" t="inlineStr"/>
      <c r="F57" s="11" t="inlineStr"/>
      <c r="G57" s="11" t="inlineStr"/>
      <c r="H57" s="11" t="inlineStr"/>
    </row>
    <row r="58">
      <c r="A58" s="11" t="inlineStr"/>
      <c r="B58" s="11" t="inlineStr"/>
      <c r="C58" s="11" t="inlineStr"/>
      <c r="D58" s="11" t="inlineStr"/>
      <c r="E58" s="11" t="inlineStr"/>
      <c r="F58" s="11" t="inlineStr"/>
      <c r="G58" s="11" t="inlineStr"/>
      <c r="H58" s="11" t="inlineStr"/>
    </row>
    <row r="59">
      <c r="A59" s="11" t="inlineStr"/>
      <c r="B59" s="11" t="inlineStr"/>
      <c r="C59" s="11" t="inlineStr"/>
      <c r="D59" s="11" t="inlineStr"/>
      <c r="E59" s="11" t="inlineStr"/>
      <c r="F59" s="11" t="inlineStr"/>
      <c r="G59" s="11" t="inlineStr"/>
      <c r="H59" s="11" t="inlineStr"/>
    </row>
    <row r="60">
      <c r="A60" s="11" t="inlineStr"/>
      <c r="B60" s="11" t="inlineStr"/>
      <c r="C60" s="11" t="inlineStr"/>
      <c r="D60" s="11" t="inlineStr"/>
      <c r="E60" s="11" t="inlineStr"/>
      <c r="F60" s="11" t="inlineStr"/>
      <c r="G60" s="11" t="inlineStr"/>
      <c r="H60" s="11" t="inlineStr"/>
    </row>
    <row r="61">
      <c r="A61" s="11" t="inlineStr"/>
      <c r="B61" s="11" t="inlineStr"/>
      <c r="C61" s="11" t="inlineStr"/>
      <c r="D61" s="11" t="inlineStr"/>
      <c r="E61" s="11" t="inlineStr"/>
      <c r="F61" s="11" t="inlineStr"/>
      <c r="G61" s="11" t="inlineStr"/>
      <c r="H61" s="11" t="inlineStr"/>
    </row>
    <row r="62">
      <c r="A62" s="11" t="inlineStr"/>
      <c r="B62" s="11" t="inlineStr"/>
      <c r="C62" s="11" t="inlineStr"/>
      <c r="D62" s="11" t="inlineStr"/>
      <c r="E62" s="11" t="inlineStr"/>
      <c r="F62" s="11" t="inlineStr"/>
      <c r="G62" s="11" t="inlineStr"/>
      <c r="H62" s="11" t="inlineStr"/>
    </row>
    <row r="63">
      <c r="A63" s="11" t="inlineStr"/>
      <c r="B63" s="11" t="inlineStr"/>
      <c r="C63" s="11" t="inlineStr"/>
      <c r="D63" s="11" t="inlineStr"/>
      <c r="E63" s="11" t="inlineStr"/>
      <c r="F63" s="11" t="inlineStr"/>
      <c r="G63" s="11" t="inlineStr"/>
      <c r="H63" s="11" t="inlineStr"/>
    </row>
    <row r="64">
      <c r="A64" s="11" t="inlineStr"/>
      <c r="B64" s="11" t="inlineStr"/>
      <c r="C64" s="11" t="inlineStr"/>
      <c r="D64" s="11" t="inlineStr"/>
      <c r="E64" s="11" t="inlineStr"/>
      <c r="F64" s="11" t="inlineStr"/>
      <c r="G64" s="11" t="inlineStr"/>
      <c r="H64" s="11" t="inlineStr"/>
    </row>
    <row r="65">
      <c r="A65" s="11" t="inlineStr"/>
      <c r="B65" s="11" t="inlineStr"/>
      <c r="C65" s="11" t="inlineStr"/>
      <c r="D65" s="11" t="inlineStr"/>
      <c r="E65" s="11" t="inlineStr"/>
      <c r="F65" s="11" t="inlineStr"/>
      <c r="G65" s="11" t="inlineStr"/>
      <c r="H65" s="11" t="inlineStr"/>
    </row>
    <row r="66">
      <c r="A66" s="11" t="inlineStr"/>
      <c r="B66" s="11" t="inlineStr"/>
      <c r="C66" s="11" t="inlineStr"/>
      <c r="D66" s="11" t="inlineStr"/>
      <c r="E66" s="11" t="inlineStr"/>
      <c r="F66" s="11" t="inlineStr"/>
      <c r="G66" s="11" t="inlineStr"/>
      <c r="H66" s="11" t="inlineStr"/>
    </row>
    <row r="67">
      <c r="A67" s="11" t="inlineStr"/>
      <c r="B67" s="11" t="inlineStr"/>
      <c r="C67" s="11" t="inlineStr"/>
      <c r="D67" s="11" t="inlineStr"/>
      <c r="E67" s="11" t="inlineStr"/>
      <c r="F67" s="11" t="inlineStr"/>
      <c r="G67" s="11" t="inlineStr"/>
      <c r="H67" s="11" t="inlineStr"/>
    </row>
    <row r="68">
      <c r="A68" s="11" t="inlineStr"/>
      <c r="B68" s="11" t="inlineStr"/>
      <c r="C68" s="11" t="inlineStr"/>
      <c r="D68" s="11" t="inlineStr"/>
      <c r="E68" s="11" t="inlineStr"/>
      <c r="F68" s="11" t="inlineStr"/>
      <c r="G68" s="11" t="inlineStr"/>
      <c r="H68" s="11" t="inlineStr"/>
    </row>
    <row r="69">
      <c r="A69" s="11" t="inlineStr"/>
      <c r="B69" s="11" t="inlineStr"/>
      <c r="C69" s="11" t="inlineStr"/>
      <c r="D69" s="11" t="inlineStr"/>
      <c r="E69" s="11" t="inlineStr"/>
      <c r="F69" s="11" t="inlineStr"/>
      <c r="G69" s="11" t="inlineStr"/>
      <c r="H69" s="11" t="inlineStr"/>
    </row>
    <row r="70">
      <c r="A70" s="11" t="inlineStr"/>
      <c r="B70" s="11" t="inlineStr"/>
      <c r="C70" s="11" t="inlineStr"/>
      <c r="D70" s="11" t="inlineStr"/>
      <c r="E70" s="11" t="inlineStr"/>
      <c r="F70" s="11" t="inlineStr"/>
      <c r="G70" s="11" t="inlineStr"/>
      <c r="H70" s="11" t="inlineStr"/>
    </row>
    <row r="71">
      <c r="A71" s="11" t="inlineStr"/>
      <c r="B71" s="11" t="inlineStr"/>
      <c r="C71" s="11" t="inlineStr"/>
      <c r="D71" s="11" t="inlineStr"/>
      <c r="E71" s="11" t="inlineStr"/>
      <c r="F71" s="11" t="inlineStr"/>
      <c r="G71" s="11" t="inlineStr"/>
      <c r="H71" s="11" t="inlineStr"/>
    </row>
    <row r="72">
      <c r="A72" s="11" t="inlineStr"/>
      <c r="B72" s="11" t="inlineStr"/>
      <c r="C72" s="11" t="inlineStr"/>
      <c r="D72" s="11" t="inlineStr"/>
      <c r="E72" s="11" t="inlineStr"/>
      <c r="F72" s="11" t="inlineStr"/>
      <c r="G72" s="11" t="inlineStr"/>
      <c r="H72" s="11" t="inlineStr"/>
    </row>
    <row r="73">
      <c r="A73" s="11" t="inlineStr"/>
      <c r="B73" s="11" t="inlineStr"/>
      <c r="C73" s="11" t="inlineStr"/>
      <c r="D73" s="11" t="inlineStr"/>
      <c r="E73" s="11" t="inlineStr"/>
      <c r="F73" s="11" t="inlineStr"/>
      <c r="G73" s="11" t="inlineStr"/>
      <c r="H73" s="11" t="inlineStr"/>
    </row>
    <row r="74">
      <c r="A74" s="11" t="inlineStr"/>
      <c r="B74" s="11" t="inlineStr"/>
      <c r="C74" s="11" t="inlineStr"/>
      <c r="D74" s="11" t="inlineStr"/>
      <c r="E74" s="11" t="inlineStr"/>
      <c r="F74" s="11" t="inlineStr"/>
      <c r="G74" s="11" t="inlineStr"/>
      <c r="H74" s="11" t="inlineStr"/>
    </row>
  </sheetData>
  <mergeCells count="1">
    <mergeCell ref="A2:N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5E7E29"/>
    <outlinePr summaryBelow="1" summaryRight="1"/>
    <pageSetUpPr fitToPage="1"/>
  </sheetPr>
  <dimension ref="A1:E49"/>
  <sheetViews>
    <sheetView showGridLines="0" zoomScale="90" workbookViewId="0">
      <pane ySplit="34" topLeftCell="A35" activePane="bottomLeft" state="frozen"/>
      <selection pane="bottomLeft" activeCell="A1" sqref="A1"/>
    </sheetView>
  </sheetViews>
  <sheetFormatPr baseColWidth="8" defaultRowHeight="15"/>
  <cols>
    <col width="58" customWidth="1" min="1" max="1"/>
    <col width="16" customWidth="1" min="2" max="2"/>
    <col width="16" customWidth="1" min="3" max="3"/>
    <col width="22" customWidth="1" min="4" max="4"/>
    <col width="60" customWidth="1" min="5" max="5"/>
  </cols>
  <sheetData>
    <row r="1" ht="28" customHeight="1">
      <c r="A1" s="1" t="inlineStr">
        <is>
          <t>Comparación v3 → v4 → v5 y resultados contra umbrales</t>
        </is>
      </c>
      <c r="B1" s="2" t="n"/>
      <c r="C1" s="2" t="n"/>
      <c r="D1" s="2" t="n"/>
      <c r="E1" s="2" t="n"/>
    </row>
    <row r="2" ht="16" customHeight="1">
      <c r="A2" s="3" t="inlineStr">
        <is>
          <t>Parte A: métricas de diseño verificadas en el código y en el navegador (no son datos de usuarios). Parte B: se completa sola desde 08 y 09 al registrar el test.</t>
        </is>
      </c>
    </row>
    <row r="3"/>
    <row r="4" ht="30" customHeight="1">
      <c r="A4" s="4" t="inlineStr">
        <is>
          <t>Métrica de diseño</t>
        </is>
      </c>
      <c r="B4" s="4" t="inlineStr">
        <is>
          <t>v3 (09-10)</t>
        </is>
      </c>
      <c r="C4" s="4" t="inlineStr">
        <is>
          <t>v4 (10-10)</t>
        </is>
      </c>
      <c r="D4" s="4" t="inlineStr">
        <is>
          <t>v5 (12-10)</t>
        </is>
      </c>
      <c r="E4" s="4" t="inlineStr">
        <is>
          <t>Cómo se verificó</t>
        </is>
      </c>
    </row>
    <row r="5">
      <c r="A5" s="5" t="inlineStr">
        <is>
          <t>Pantallas desde Empresas hasta elegir el canal humano (camino principal)</t>
        </is>
      </c>
      <c r="B5" s="10" t="n">
        <v>10</v>
      </c>
      <c r="C5" s="10" t="n">
        <v>8</v>
      </c>
      <c r="D5" s="10" t="n">
        <v>8</v>
      </c>
      <c r="E5" s="6" t="inlineStr">
        <is>
          <t>v5: C02, C03, 5 preguntas, C05; C05 muestra la solución preliminar antes del canal.</t>
        </is>
      </c>
    </row>
    <row r="6">
      <c r="A6" s="5" t="inlineStr">
        <is>
          <t>Pantallas entre la última pregunta y la elección de contacto</t>
        </is>
      </c>
      <c r="B6" s="10" t="n">
        <v>2</v>
      </c>
      <c r="C6" s="10" t="n">
        <v>0</v>
      </c>
      <c r="D6" s="10" t="n">
        <v>0</v>
      </c>
      <c r="E6" s="6" t="inlineStr">
        <is>
          <t>v4 y v5: C05 justo después de la última pregunta.</t>
        </is>
      </c>
    </row>
    <row r="7">
      <c r="A7" s="5" t="inlineStr">
        <is>
          <t>Canales humanos al terminar el diagnóstico</t>
        </is>
      </c>
      <c r="B7" s="10" t="inlineStr">
        <is>
          <t>Solo al final (C10)</t>
        </is>
      </c>
      <c r="C7" s="10" t="inlineStr">
        <is>
          <t>3 inmediatos</t>
        </is>
      </c>
      <c r="D7" s="10" t="inlineStr">
        <is>
          <t>3 + llamada en vivo con ficha</t>
        </is>
      </c>
      <c r="E7" s="6" t="inlineStr">
        <is>
          <t>C05 y C06; en v5 la ficha de la llamada se ve en el portal.</t>
        </is>
      </c>
    </row>
    <row r="8">
      <c r="A8" s="5" t="inlineStr">
        <is>
          <t>Secciones en el menú del CRM</t>
        </is>
      </c>
      <c r="B8" s="10" t="n">
        <v>12</v>
      </c>
      <c r="C8" s="10" t="n">
        <v>6</v>
      </c>
      <c r="D8" s="10" t="inlineStr">
        <is>
          <t>5 por rol (3 roles)</t>
        </is>
      </c>
      <c r="E8" s="6" t="inlineStr">
        <is>
          <t>Código del menú v3, v4 y D.ROLE_MENUS (v5).</t>
        </is>
      </c>
    </row>
    <row r="9">
      <c r="A9" s="5" t="inlineStr">
        <is>
          <t>Puntajes que incorporan la geografía</t>
        </is>
      </c>
      <c r="B9" s="10" t="inlineStr">
        <is>
          <t>0 de 2</t>
        </is>
      </c>
      <c r="C9" s="10" t="inlineStr">
        <is>
          <t>2 de 2</t>
        </is>
      </c>
      <c r="D9" s="10" t="inlineStr">
        <is>
          <t>2 de 2</t>
        </is>
      </c>
      <c r="E9" s="6" t="inlineStr">
        <is>
          <t>Engagement (evento 14) y Financial (15 % zona).</t>
        </is>
      </c>
    </row>
    <row r="10">
      <c r="A10" s="5" t="inlineStr">
        <is>
          <t>Clips con tazas y bolsas Marley Coffee legibles en todo el video</t>
        </is>
      </c>
      <c r="B10" s="10" t="inlineStr">
        <is>
          <t>0 de 4</t>
        </is>
      </c>
      <c r="C10" s="10" t="inlineStr">
        <is>
          <t>2 de 2</t>
        </is>
      </c>
      <c r="D10" s="10" t="inlineStr">
        <is>
          <t>6 de 6</t>
        </is>
      </c>
      <c r="E10" s="6" t="inlineStr">
        <is>
          <t>Revisión cuadro a cuadro (hojas de contacto de cada toma).</t>
        </is>
      </c>
    </row>
    <row r="11">
      <c r="A11" s="5" t="inlineStr">
        <is>
          <t>Entregables con multimedia en su forma correcta</t>
        </is>
      </c>
      <c r="B11" s="10" t="inlineStr">
        <is>
          <t>1 de 3</t>
        </is>
      </c>
      <c r="C11" s="10" t="inlineStr">
        <is>
          <t>3 de 3</t>
        </is>
      </c>
      <c r="D11" s="10" t="inlineStr">
        <is>
          <t>3 de 3</t>
        </is>
      </c>
      <c r="E11" s="6" t="inlineStr">
        <is>
          <t>v5: prototipo con escenas al scroll; mockups con fotogramas; wireframes con cajas FOTO y VIDEO (prueba automática).</t>
        </is>
      </c>
    </row>
    <row r="12">
      <c r="A12" s="5" t="inlineStr">
        <is>
          <t>Lead magnets con su promesa visible antes del esfuerzo (LM1–LM7)</t>
        </is>
      </c>
      <c r="B12" s="10" t="inlineStr">
        <is>
          <t>Parcial</t>
        </is>
      </c>
      <c r="C12" s="10" t="inlineStr">
        <is>
          <t>7 de 7</t>
        </is>
      </c>
      <c r="D12" s="10" t="inlineStr">
        <is>
          <t>7 de 7</t>
        </is>
      </c>
      <c r="E12" s="6" t="inlineStr">
        <is>
          <t>tests/qa_v4.py y tests/qa_v5.py.</t>
        </is>
      </c>
    </row>
    <row r="13">
      <c r="A13" s="5" t="inlineStr">
        <is>
          <t>Errores de ejecución en todas las pantallas × 3 archivos (escritorio y celular)</t>
        </is>
      </c>
      <c r="B13" s="10" t="inlineStr">
        <is>
          <t>—</t>
        </is>
      </c>
      <c r="C13" s="10" t="n">
        <v>0</v>
      </c>
      <c r="D13" s="10" t="n">
        <v>0</v>
      </c>
      <c r="E13" s="6" t="inlineStr">
        <is>
          <t>v5: 25 rutas, tests/qa_v5.py, 12-10-2026.</t>
        </is>
      </c>
    </row>
    <row r="14">
      <c r="A14" s="5" t="inlineStr">
        <is>
          <t>Fuentes oficiales de Marley Coffee cargadas (Festivo y GT Pressura)</t>
        </is>
      </c>
      <c r="B14" s="10" t="inlineStr">
        <is>
          <t>0 de 2</t>
        </is>
      </c>
      <c r="C14" s="10" t="inlineStr">
        <is>
          <t>0 de 2</t>
        </is>
      </c>
      <c r="D14" s="10" t="inlineStr">
        <is>
          <t>2 de 2</t>
        </is>
      </c>
      <c r="E14" s="6" t="inlineStr">
        <is>
          <t>document.fonts.check en la prueba automática.</t>
        </is>
      </c>
    </row>
    <row r="15">
      <c r="A15" s="5" t="inlineStr">
        <is>
          <t>Amarillo de marca</t>
        </is>
      </c>
      <c r="B15" s="10" t="inlineStr">
        <is>
          <t>#F3C900</t>
        </is>
      </c>
      <c r="C15" s="10" t="inlineStr">
        <is>
          <t>#F3C900</t>
        </is>
      </c>
      <c r="D15" s="10" t="inlineStr">
        <is>
          <t>#F7BE00 (oficial)</t>
        </is>
      </c>
      <c r="E15" s="6" t="inlineStr">
        <is>
          <t>CSS oficial de marleycoffee.cl.</t>
        </is>
      </c>
    </row>
    <row r="16">
      <c r="A16" s="5" t="inlineStr">
        <is>
          <t>Peso del HTML del prototipo</t>
        </is>
      </c>
      <c r="B16" s="10" t="inlineStr">
        <is>
          <t>—</t>
        </is>
      </c>
      <c r="C16" s="10" t="inlineStr">
        <is>
          <t>7,5 MB</t>
        </is>
      </c>
      <c r="D16" s="10" t="inlineStr">
        <is>
          <t>0,63 MB</t>
        </is>
      </c>
      <c r="E16" s="6" t="inlineStr">
        <is>
          <t>Multimedia en la carpeta recursos/ (build v5).</t>
        </is>
      </c>
    </row>
    <row r="17">
      <c r="A17" s="5" t="inlineStr">
        <is>
          <t>Lighthouse de la landing (escritorio / celular, con gzip)</t>
        </is>
      </c>
      <c r="B17" s="10" t="inlineStr">
        <is>
          <t>—</t>
        </is>
      </c>
      <c r="C17" s="10" t="inlineStr">
        <is>
          <t>—</t>
        </is>
      </c>
      <c r="D17" s="10" t="inlineStr">
        <is>
          <t>98–99 / 71</t>
        </is>
      </c>
      <c r="E17" s="6" t="inlineStr">
        <is>
          <t>Lighthouse local 13-10-2026, versión final (mediana de cuatro corridas en celular: 68–74; la versión anterior medida en las mismas condiciones: 63–69); LCP 0,8 s / 3,6 s; TBT ~0,1 s / ~0,6 s; CLS 0.</t>
        </is>
      </c>
    </row>
    <row r="18">
      <c r="A18" s="5" t="inlineStr">
        <is>
          <t>Máquinas oficiales para empresas con foto</t>
        </is>
      </c>
      <c r="B18" s="10" t="n">
        <v>0</v>
      </c>
      <c r="C18" s="10" t="n">
        <v>0</v>
      </c>
      <c r="D18" s="10" t="n">
        <v>4</v>
      </c>
      <c r="E18" s="6" t="inlineStr">
        <is>
          <t>Café al paso, Bar, Oficina y Pods (marleycoffee.cl/contactanos).</t>
        </is>
      </c>
    </row>
    <row r="19">
      <c r="A19" s="5" t="inlineStr">
        <is>
          <t>Rangos de precio visibles (supuestos rotulados)</t>
        </is>
      </c>
      <c r="B19" s="10" t="inlineStr">
        <is>
          <t>Sin precios</t>
        </is>
      </c>
      <c r="C19" s="10" t="inlineStr">
        <is>
          <t>Sin precios</t>
        </is>
      </c>
      <c r="D19" s="10" t="inlineStr">
        <is>
          <t>4 máquinas, café y 7 servicios</t>
        </is>
      </c>
      <c r="E19" s="6" t="inlineStr">
        <is>
          <t>Hoja 19; rótulo «Precio supuesto (académico)» en pantalla.</t>
        </is>
      </c>
    </row>
    <row r="20">
      <c r="A20" s="5" t="inlineStr">
        <is>
          <t>Estados del portal del cliente</t>
        </is>
      </c>
      <c r="B20" s="10" t="n">
        <v>1</v>
      </c>
      <c r="C20" s="10" t="n">
        <v>1</v>
      </c>
      <c r="D20" s="10" t="n">
        <v>5</v>
      </c>
      <c r="E20" s="6" t="inlineStr">
        <is>
          <t>M4.portalState: registrado, en contacto, tu solución, propuesta y cliente.</t>
        </is>
      </c>
    </row>
    <row r="21">
      <c r="A21" s="7" t="inlineStr">
        <is>
          <t>Datos estructurados (JSON-LD) en la landing</t>
        </is>
      </c>
      <c r="B21" s="14" t="n">
        <v>0</v>
      </c>
      <c r="C21" s="14" t="n">
        <v>0</v>
      </c>
      <c r="D21" s="14" t="inlineStr">
        <is>
          <t>5 tipos</t>
        </is>
      </c>
      <c r="E21" s="8" t="inlineStr">
        <is>
          <t>Organization, Product ×4, Service ×2, FAQPage y BreadcrumbList.</t>
        </is>
      </c>
    </row>
    <row r="22"/>
    <row r="23"/>
    <row r="24" ht="30" customHeight="1">
      <c r="A24" s="4" t="inlineStr">
        <is>
          <t>Parte B · Resultado del test (ronda 1, 15-10-2026)</t>
        </is>
      </c>
      <c r="B24" s="4" t="inlineStr">
        <is>
          <t>Umbral</t>
        </is>
      </c>
      <c r="C24" s="4" t="inlineStr">
        <is>
          <t>Resultado</t>
        </is>
      </c>
      <c r="D24" s="4" t="inlineStr">
        <is>
          <t>¿Cumple?</t>
        </is>
      </c>
      <c r="E24" s="4" t="inlineStr">
        <is>
          <t>Fuente</t>
        </is>
      </c>
    </row>
    <row r="25">
      <c r="A25" s="5" t="inlineStr">
        <is>
          <t>Éxito sin ayuda · sitio (T1, 3 clientes)</t>
        </is>
      </c>
      <c r="B25" s="37" t="n">
        <v>0.8</v>
      </c>
      <c r="C25" s="35">
        <f>'08_TEST_REGISTRO'!D15</f>
        <v/>
      </c>
      <c r="D25" s="21">
        <f>IF(ISNUMBER(C25),IF(C25&gt;=B25,"Sí","No"),"pendiente")</f>
        <v/>
      </c>
      <c r="E25" s="6" t="inlineStr">
        <is>
          <t>08_TEST_REGISTRO</t>
        </is>
      </c>
    </row>
    <row r="26">
      <c r="A26" s="5" t="inlineStr">
        <is>
          <t>Éxito sin ayuda · CRM (T7 y T9)</t>
        </is>
      </c>
      <c r="B26" s="37" t="n">
        <v>0.8</v>
      </c>
      <c r="C26" s="35">
        <f>AVERAGE('08_TEST_REGISTRO'!D16,'08_TEST_REGISTRO'!D17)</f>
        <v/>
      </c>
      <c r="D26" s="21">
        <f>IF(ISNUMBER(C26),IF(C26&gt;=B26,"Sí","No"),"pendiente")</f>
        <v/>
      </c>
      <c r="E26" s="6" t="inlineStr">
        <is>
          <t>08_TEST_REGISTRO</t>
        </is>
      </c>
    </row>
    <row r="27">
      <c r="A27" s="5" t="inlineStr">
        <is>
          <t>SEQ promedio · sitio (T1)</t>
        </is>
      </c>
      <c r="B27" s="10" t="n">
        <v>5.5</v>
      </c>
      <c r="C27" s="36">
        <f>'08_TEST_REGISTRO'!G15</f>
        <v/>
      </c>
      <c r="D27" s="21">
        <f>IF(ISNUMBER(C27),IF(C27&gt;=B27,"Sí","No"),"pendiente")</f>
        <v/>
      </c>
      <c r="E27" s="6" t="inlineStr">
        <is>
          <t>08_TEST_REGISTRO</t>
        </is>
      </c>
    </row>
    <row r="28">
      <c r="A28" s="5" t="inlineStr">
        <is>
          <t>SEQ promedio · CRM (T7 y T9)</t>
        </is>
      </c>
      <c r="B28" s="10" t="n">
        <v>5.5</v>
      </c>
      <c r="C28" s="36">
        <f>AVERAGE('08_TEST_REGISTRO'!G16,'08_TEST_REGISTRO'!G17)</f>
        <v/>
      </c>
      <c r="D28" s="21">
        <f>IF(ISNUMBER(C28),IF(C28&gt;=B28,"Sí","No"),"pendiente")</f>
        <v/>
      </c>
      <c r="E28" s="6" t="inlineStr">
        <is>
          <t>08_TEST_REGISTRO</t>
        </is>
      </c>
    </row>
    <row r="29">
      <c r="A29" s="5" t="inlineStr">
        <is>
          <t>SUS promedio · clientes</t>
        </is>
      </c>
      <c r="B29" s="10" t="n">
        <v>68</v>
      </c>
      <c r="C29" s="36">
        <f>'09_SUS'!D10</f>
        <v/>
      </c>
      <c r="D29" s="21">
        <f>IF(ISNUMBER(C29),IF(C29&gt;=B29,"Sí","No"),"pendiente")</f>
        <v/>
      </c>
      <c r="E29" s="6" t="inlineStr">
        <is>
          <t>09_SUS</t>
        </is>
      </c>
    </row>
    <row r="30">
      <c r="A30" s="5" t="inlineStr">
        <is>
          <t>SUS promedio · equipo</t>
        </is>
      </c>
      <c r="B30" s="10" t="n">
        <v>68</v>
      </c>
      <c r="C30" s="36">
        <f>'09_SUS'!D11</f>
        <v/>
      </c>
      <c r="D30" s="21">
        <f>IF(ISNUMBER(C30),IF(C30&gt;=B30,"Sí","No"),"pendiente")</f>
        <v/>
      </c>
      <c r="E30" s="6" t="inlineStr">
        <is>
          <t>09_SUS</t>
        </is>
      </c>
    </row>
    <row r="31">
      <c r="A31" s="7" t="inlineStr">
        <is>
          <t>Problemas de severidad 4 abiertos</t>
        </is>
      </c>
      <c r="B31" s="14" t="n">
        <v>0</v>
      </c>
      <c r="C31" s="32">
        <f>COUNTIFS('10_HALLAZGOS'!K5:K60,4,'10_HALLAZGOS'!N5:N60,"&lt;&gt;Incorporado*")</f>
        <v/>
      </c>
      <c r="D31" s="22">
        <f>IF(ISNUMBER(C31),IF(C31&lt;=B31,"Sí","No"),"pendiente")</f>
        <v/>
      </c>
      <c r="E31" s="8" t="inlineStr">
        <is>
          <t>10_HALLAZGOS</t>
        </is>
      </c>
    </row>
    <row r="32"/>
    <row r="33"/>
    <row r="34" ht="30" customHeight="1">
      <c r="A34" s="4" t="inlineStr">
        <is>
          <t>Parte C · Cambio verificado después del test (v5 probado → v6.1)</t>
        </is>
      </c>
      <c r="B34" s="4" t="inlineStr">
        <is>
          <t>v5 (probado el 15-10)</t>
        </is>
      </c>
      <c r="C34" s="4" t="inlineStr">
        <is>
          <t>v6.1 (15-10)</t>
        </is>
      </c>
      <c r="D34" s="4" t="inlineStr">
        <is>
          <t>Cómo se verificó</t>
        </is>
      </c>
      <c r="E34" s="4" t="inlineStr">
        <is>
          <t>Hallazgo</t>
        </is>
      </c>
    </row>
    <row r="35">
      <c r="A35" s="5" t="inlineStr">
        <is>
          <t>Datos que se piden antes del diagnóstico</t>
        </is>
      </c>
      <c r="B35" s="10" t="inlineStr">
        <is>
          <t>4 campos (nombre, correo, celular y permiso), sin +56 9</t>
        </is>
      </c>
      <c r="C35" s="10" t="inlineStr">
        <is>
          <t>Nombre y correo + permiso para guardar el avance; teléfono opcional. La comuna pasa al paso 2; recuperación por correo</t>
        </is>
      </c>
      <c r="D35" s="10" t="inlineStr">
        <is>
          <t>tests/qa_v5.py: C02 → C03 → C04 → C05; aviso de abandono programado</t>
        </is>
      </c>
      <c r="E35" s="6" t="inlineStr">
        <is>
          <t>H23</t>
        </is>
      </c>
    </row>
    <row r="36">
      <c r="A36" s="5" t="inlineStr">
        <is>
          <t>Pasos del diagnóstico</t>
        </is>
      </c>
      <c r="B36" s="10" t="inlineStr">
        <is>
          <t>5 preguntas, una por pantalla</t>
        </is>
      </c>
      <c r="C36" s="10" t="inlineStr">
        <is>
          <t>3 pasos; el negocio se salta si ya se eligió y lo típico viene marcado</t>
        </is>
      </c>
      <c r="D36" s="10" t="inlineStr">
        <is>
          <t>qa_v5: «Paso 2 de 3» y valores sugeridos marcados</t>
        </is>
      </c>
      <c r="E36" s="6" t="inlineStr">
        <is>
          <t>H28</t>
        </is>
      </c>
    </row>
    <row r="37">
      <c r="A37" s="5" t="inlineStr">
        <is>
          <t>Toques mínimos desde «Quiero esto en mi negocio» hasta ver el precio</t>
        </is>
      </c>
      <c r="B37" s="10" t="inlineStr">
        <is>
          <t>15 (5 en el formulario y 10 en las preguntas)</t>
        </is>
      </c>
      <c r="C37" s="10" t="inlineStr">
        <is>
          <t>8 (5 en los datos y 3 en los pasos: comuna, «Continuar» y «Ver mi propuesta»)</t>
        </is>
      </c>
      <c r="D37" s="10" t="inlineStr">
        <is>
          <t>Conteo sobre el camino de qa_v5</t>
        </is>
      </c>
      <c r="E37" s="6" t="inlineStr">
        <is>
          <t>H23, H28</t>
        </is>
      </c>
    </row>
    <row r="38">
      <c r="A38" s="5" t="inlineStr">
        <is>
          <t>Espera para ver la propuesta ajustada</t>
        </is>
      </c>
      <c r="B38" s="10" t="inlineStr">
        <is>
          <t>8 s de «nueva propuesta» (simulada)</t>
        </is>
      </c>
      <c r="C38" s="10" t="inlineStr">
        <is>
          <t>0 s: se recalcula al instante</t>
        </is>
      </c>
      <c r="D38" s="10" t="inlineStr">
        <is>
          <t>M4.TM.proposal_after (v5) · setQuote (v6)</t>
        </is>
      </c>
      <c r="E38" s="6" t="inlineStr">
        <is>
          <t>H25</t>
        </is>
      </c>
    </row>
    <row r="39">
      <c r="A39" s="5" t="inlineStr">
        <is>
          <t>Propuesta lista al terminar el diagnóstico</t>
        </is>
      </c>
      <c r="B39" s="10" t="inlineStr">
        <is>
          <t>No: la preparaba la ejecutiva</t>
        </is>
      </c>
      <c r="C39" s="10" t="inlineStr">
        <is>
          <t>Sí: la arma el agente de ventas al instante</t>
        </is>
      </c>
      <c r="D39" s="10" t="inlineStr">
        <is>
          <t>qa_v5: propuesta en estado «lista» en C05</t>
        </is>
      </c>
      <c r="E39" s="6" t="inlineStr">
        <is>
          <t>H24, H25</t>
        </is>
      </c>
    </row>
    <row r="40">
      <c r="A40" s="5" t="inlineStr">
        <is>
          <t>Momentos de la portada animada</t>
        </is>
      </c>
      <c r="B40" s="10" t="inlineStr">
        <is>
          <t>3 (280 vh; 240 vh en celular)</t>
        </is>
      </c>
      <c r="C40" s="10" t="inlineStr">
        <is>
          <t>2 (200 vh; 170 vh en celular), con la atención en vivo en una línea abajo</t>
        </is>
      </c>
      <c r="D40" s="10" t="inlineStr">
        <is>
          <t>CSS v6 y qa_v5</t>
        </is>
      </c>
      <c r="E40" s="6" t="inlineStr">
        <is>
          <t>H27</t>
        </is>
      </c>
    </row>
    <row r="41">
      <c r="A41" s="5" t="inlineStr">
        <is>
          <t>«Ver mi solución» antes de ver las máquinas</t>
        </is>
      </c>
      <c r="B41" s="10" t="inlineStr">
        <is>
          <t>Sí (portada, encabezado y barra fija)</t>
        </is>
      </c>
      <c r="C41" s="10" t="inlineStr">
        <is>
          <t>No: aparece después del carrusel de máquinas</t>
        </is>
      </c>
      <c r="D41" s="10" t="inlineStr">
        <is>
          <t>qa_v5: opacidad 0 e inactivo al inicio</t>
        </is>
      </c>
      <c r="E41" s="6" t="inlineStr">
        <is>
          <t>H26</t>
        </is>
      </c>
    </row>
    <row r="42">
      <c r="A42" s="5" t="inlineStr">
        <is>
          <t>«MENÚ» y Empresas a la vista en la tienda (celular)</t>
        </is>
      </c>
      <c r="B42" s="10" t="inlineStr">
        <is>
          <t>Solo el ícono; Empresas dentro del menú</t>
        </is>
      </c>
      <c r="C42" s="10" t="inlineStr">
        <is>
          <t>«MENÚ» bajo el ícono y franja «¿Compras para tu negocio? Empresas →»</t>
        </is>
      </c>
      <c r="D42" s="10" t="inlineStr">
        <is>
          <t>qa_v5 en celular (390 × 844)</t>
        </is>
      </c>
      <c r="E42" s="6" t="inlineStr">
        <is>
          <t>H22</t>
        </is>
      </c>
    </row>
    <row r="43">
      <c r="A43" s="5" t="inlineStr">
        <is>
          <t>La ejecutiva ve lo que cotizó el cliente junto al chat</t>
        </is>
      </c>
      <c r="B43" s="10" t="inlineStr">
        <is>
          <t>No</t>
        </is>
      </c>
      <c r="C43" s="10" t="inlineStr">
        <is>
          <t>Sí, en vivo, con la propuesta sugerida y «Enviar propuesta sugerida»</t>
        </is>
      </c>
      <c r="D43" s="10" t="inlineStr">
        <is>
          <t>qa_v5: R02 con lo cotizado y la tarjeta del agente</t>
        </is>
      </c>
      <c r="E43" s="6" t="inlineStr">
        <is>
          <t>H31</t>
        </is>
      </c>
    </row>
    <row r="44">
      <c r="A44" s="5" t="inlineStr">
        <is>
          <t>Ancho del chat del CRM (1366 × 900)</t>
        </is>
      </c>
      <c r="B44" s="10" t="inlineStr">
        <is>
          <t>438 px</t>
        </is>
      </c>
      <c r="C44" s="10" t="inlineStr">
        <is>
          <t>732 px</t>
        </is>
      </c>
      <c r="D44" s="10" t="inlineStr">
        <is>
          <t>Medición en el navegador (15-10)</t>
        </is>
      </c>
      <c r="E44" s="6" t="inlineStr">
        <is>
          <t>H36</t>
        </is>
      </c>
    </row>
    <row r="45">
      <c r="A45" s="5" t="inlineStr">
        <is>
          <t>Elementos con aspecto de botón que no respondían (CRM)</t>
        </is>
      </c>
      <c r="B45" s="10" t="inlineStr">
        <is>
          <t>Campana, tarjeta del cliente e indicadores</t>
        </is>
      </c>
      <c r="C45" s="10" t="inlineStr">
        <is>
          <t>Responden: avisos, ficha y detalle de cada indicador</t>
        </is>
      </c>
      <c r="D45" s="10" t="inlineStr">
        <is>
          <t>qa_v5 y tests/botones.py (clic real)</t>
        </is>
      </c>
      <c r="E45" s="6" t="inlineStr">
        <is>
          <t>H32</t>
        </is>
      </c>
    </row>
    <row r="46">
      <c r="A46" s="5" t="inlineStr">
        <is>
          <t>Botones que crecían al tocarlos (onda del toque)</t>
        </is>
      </c>
      <c r="B46" s="10" t="inlineStr">
        <is>
          <t>Sí: el clic podía caer en otro botón o en el vacío</t>
        </is>
      </c>
      <c r="C46" s="10" t="inlineStr">
        <is>
          <t>No: la onda queda fuera del flujo</t>
        </is>
      </c>
      <c r="D46" s="10" t="inlineStr">
        <is>
          <t>Prueba con clics reales de mouse (15-10)</t>
        </is>
      </c>
      <c r="E46" s="6" t="inlineStr">
        <is>
          <t>H32</t>
        </is>
      </c>
    </row>
    <row r="47">
      <c r="A47" s="5" t="inlineStr">
        <is>
          <t>Ingreso con el usuario escrito con mayúsculas o espacios</t>
        </is>
      </c>
      <c r="B47" s="10" t="inlineStr">
        <is>
          <t>No entraba</t>
        </is>
      </c>
      <c r="C47" s="10" t="inlineStr">
        <is>
          <t>Entra (sin distinguir mayúsculas, tildes, espacios ni dominio)</t>
        </is>
      </c>
      <c r="D47" s="10" t="inlineStr">
        <is>
          <t>qa_v5: « Paula.Diaz@marleycoffee.cl » y «Demo»</t>
        </is>
      </c>
      <c r="E47" s="6" t="inlineStr">
        <is>
          <t>H35</t>
        </is>
      </c>
    </row>
    <row r="48">
      <c r="A48" s="5" t="inlineStr">
        <is>
          <t>Panel de jefatura</t>
        </is>
      </c>
      <c r="B48" s="10" t="inlineStr">
        <is>
          <t>12 indicadores del mismo color, sin detalle</t>
        </is>
      </c>
      <c r="C48" s="10" t="inlineStr">
        <is>
          <t>3 principales con color según tendencia, filtros de período y zona y detalle al tocar</t>
        </is>
      </c>
      <c r="D48" s="10" t="inlineStr">
        <is>
          <t>qa_v5: R05 en escritorio y celular</t>
        </is>
      </c>
      <c r="E48" s="6" t="inlineStr">
        <is>
          <t>H33, H34</t>
        </is>
      </c>
    </row>
    <row r="49">
      <c r="A49" s="7" t="inlineStr">
        <is>
          <t>Puntaje de leads (tabla M2)</t>
        </is>
      </c>
      <c r="B49" s="14" t="inlineStr">
        <is>
          <t>13 eventos + comuna</t>
        </is>
      </c>
      <c r="C49" s="14" t="inlineStr">
        <is>
          <t>Los mismos 13 eventos + comuna: cambia el momento, no los puntos</t>
        </is>
      </c>
      <c r="D49" s="14" t="inlineStr">
        <is>
          <t>qa_v5: eventos únicos, puntos de la tabla y tope 100</t>
        </is>
      </c>
      <c r="E49" s="8" t="inlineStr">
        <is>
          <t>—</t>
        </is>
      </c>
    </row>
  </sheetData>
  <mergeCells count="1">
    <mergeCell ref="A2:E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3.xml><?xml version="1.0" encoding="utf-8"?>
<worksheet xmlns="http://schemas.openxmlformats.org/spreadsheetml/2006/main">
  <sheetPr>
    <tabColor rgb="003F3F40"/>
    <outlinePr summaryBelow="1" summaryRight="1"/>
    <pageSetUpPr fitToPage="1"/>
  </sheetPr>
  <dimension ref="A1:H32"/>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12" customWidth="1" min="2" max="2"/>
    <col width="46" customWidth="1" min="3" max="3"/>
    <col width="34" customWidth="1" min="4" max="4"/>
    <col width="44" customWidth="1" min="5" max="5"/>
    <col width="12" customWidth="1" min="6" max="6"/>
    <col width="32" customWidth="1" min="7" max="7"/>
    <col width="9" customWidth="1" min="8" max="8"/>
  </cols>
  <sheetData>
    <row r="1" ht="28" customHeight="1">
      <c r="A1" s="1" t="inlineStr">
        <is>
          <t>Hipótesis, supuestos, trade-offs y próximos experimentos</t>
        </is>
      </c>
      <c r="B1" s="2" t="n"/>
      <c r="C1" s="2" t="n"/>
      <c r="D1" s="2" t="n"/>
      <c r="E1" s="2" t="n"/>
      <c r="F1" s="2" t="n"/>
      <c r="G1" s="2" t="n"/>
      <c r="H1" s="2" t="n"/>
    </row>
    <row r="2" ht="26" customHeight="1">
      <c r="A2" s="3" t="inlineStr">
        <is>
          <t>Las hipótesis H1 a H6 son las mismas del informe (si…, esperamos…, KPI y meta); «riesgo si es falso» dice qué pasa si no se cumple. Cada supuesto tiene la forma de validarlo. Los experimentos se ordenan por prioridad.</t>
        </is>
      </c>
    </row>
    <row r="3"/>
    <row r="4" ht="30" customHeight="1">
      <c r="A4" s="4" t="inlineStr">
        <is>
          <t>ID</t>
        </is>
      </c>
      <c r="B4" s="4" t="inlineStr">
        <is>
          <t>Tipo</t>
        </is>
      </c>
      <c r="C4" s="4" t="inlineStr">
        <is>
          <t>Descripción</t>
        </is>
      </c>
      <c r="D4" s="4" t="inlineStr">
        <is>
          <t>Riesgo si es falso</t>
        </is>
      </c>
      <c r="E4" s="4" t="inlineStr">
        <is>
          <t>Cómo se valida / experimento</t>
        </is>
      </c>
      <c r="F4" s="4" t="inlineStr">
        <is>
          <t>Métrica</t>
        </is>
      </c>
      <c r="G4" s="4" t="inlineStr">
        <is>
          <t>Criterio de decisión</t>
        </is>
      </c>
      <c r="H4" s="4" t="inlineStr">
        <is>
          <t>Prioridad</t>
        </is>
      </c>
    </row>
    <row r="5">
      <c r="A5" s="5" t="inlineStr">
        <is>
          <t>H1</t>
        </is>
      </c>
      <c r="B5" s="10" t="inlineStr">
        <is>
          <t>Hipótesis</t>
        </is>
      </c>
      <c r="C5" s="10" t="inlineStr">
        <is>
          <t>Si el negocio deja tres datos al principio, con algo a cambio, y recibe su propuesta al instante, esperamos más contactos identificados, más propuestas aceptadas y recuperar a quien abandona.</t>
        </is>
      </c>
      <c r="D5" s="10" t="inlineStr">
        <is>
          <t>El sistema junta visitas y no contactos identificados, y quien abandona no se recupera.</t>
        </is>
      </c>
      <c r="E5" s="10" t="inlineStr">
        <is>
          <t>Ronda 2 (E1) y piloto.</t>
        </is>
      </c>
      <c r="F5" s="10" t="inlineStr">
        <is>
          <t>K02, K09</t>
        </is>
      </c>
      <c r="G5" s="10" t="inlineStr">
        <is>
          <t>Identificación (K02) y aceptación (K09) [A LEVANTAR]; lead a cliente (K10) de 12 % a 18 %* en 12 meses.</t>
        </is>
      </c>
      <c r="H5" s="6" t="inlineStr">
        <is>
          <t>Alta</t>
        </is>
      </c>
    </row>
    <row r="6">
      <c r="A6" s="5" t="inlineStr">
        <is>
          <t>H2</t>
        </is>
      </c>
      <c r="B6" s="10" t="inlineStr">
        <is>
          <t>Hipótesis</t>
        </is>
      </c>
      <c r="C6" s="10" t="inlineStr">
        <is>
          <t>Si cada paso es un evento con su canal de origen, esperamos saber qué canal trae clientes, no solo visitas, y mover la inversión a lo que convierte.</t>
        </is>
      </c>
      <c r="D6" s="10" t="inlineStr">
        <is>
          <t>Se sigue invirtiendo sin saber qué canal trae clientes.</t>
        </is>
      </c>
      <c r="E6" s="10" t="inlineStr">
        <is>
          <t>Piloto y experimento de la landing (E6).</t>
        </is>
      </c>
      <c r="F6" s="10" t="inlineStr">
        <is>
          <t>K01, K10</t>
        </is>
      </c>
      <c r="G6" s="10" t="inlineStr">
        <is>
          <t>Acceso a Empresas por canal (K01); costo por cliente −33 % al pasar de 12 % a 18 %* (hoja 16).</t>
        </is>
      </c>
      <c r="H6" s="6" t="inlineStr">
        <is>
          <t>Alta</t>
        </is>
      </c>
    </row>
    <row r="7">
      <c r="A7" s="5" t="inlineStr">
        <is>
          <t>H3</t>
        </is>
      </c>
      <c r="B7" s="10" t="inlineStr">
        <is>
          <t>Hipótesis</t>
        </is>
      </c>
      <c r="C7" s="10" t="inlineStr">
        <is>
          <t>Si el puntaje ordena la atención y la ejecutiva recibe el aviso a tiempo, esperamos atender primero a quien más vale, más rápido y con contexto.</t>
        </is>
      </c>
      <c r="D7" s="10" t="inlineStr">
        <is>
          <t>La ejecutiva atiende sin orden ni contexto y el lead que más vale espera igual que el resto.</t>
        </is>
      </c>
      <c r="E7" s="10" t="inlineStr">
        <is>
          <t>Ronda 2 (T7) y piloto.</t>
        </is>
      </c>
      <c r="F7" s="10" t="inlineStr">
        <is>
          <t>K05, K08</t>
        </is>
      </c>
      <c r="G7" s="10" t="inlineStr">
        <is>
          <t>Primera respuesta (K05) ≤ 5 min; MQL a SQL (K08) [A LEVANTAR].</t>
        </is>
      </c>
      <c r="H7" s="6" t="inlineStr">
        <is>
          <t>Alta</t>
        </is>
      </c>
    </row>
    <row r="8">
      <c r="A8" s="5" t="inlineStr">
        <is>
          <t>H4</t>
        </is>
      </c>
      <c r="B8" s="10" t="inlineStr">
        <is>
          <t>Hipótesis</t>
        </is>
      </c>
      <c r="C8" s="10" t="inlineStr">
        <is>
          <t>Si la propuesta recomienda productos y servicios según su rol y el stock, esperamos más categorías por cliente y un ticket más alto sin bajar el margen.</t>
        </is>
      </c>
      <c r="D8" s="10" t="inlineStr">
        <is>
          <t>La propuesta no sube las categorías por cliente ni el ticket.</t>
        </is>
      </c>
      <c r="E8" s="10" t="inlineStr">
        <is>
          <t>Piloto.</t>
        </is>
      </c>
      <c r="F8" s="10" t="inlineStr">
        <is>
          <t>K13, K30, K31</t>
        </is>
      </c>
      <c r="G8" s="10" t="inlineStr">
        <is>
          <t>Ticket promedio (K13), amplitud (K30) y margen por cuenta (K31) [A LEVANTAR con el ERP].</t>
        </is>
      </c>
      <c r="H8" s="6" t="inlineStr">
        <is>
          <t>Alta</t>
        </is>
      </c>
    </row>
    <row r="9">
      <c r="A9" s="5" t="inlineStr">
        <is>
          <t>H5</t>
        </is>
      </c>
      <c r="B9" s="10" t="inlineStr">
        <is>
          <t>Hipótesis</t>
        </is>
      </c>
      <c r="C9" s="10" t="inlineStr">
        <is>
          <t>Si reponer toma un toque, el aviso llega según la frecuencia y un KAM ve el historial, esperamos más clientes que reponen solos y se quedan.</t>
        </is>
      </c>
      <c r="D9" s="10" t="inlineStr">
        <is>
          <t>La reposición sigue siendo manual y la retención no se mueve.</t>
        </is>
      </c>
      <c r="E9" s="10" t="inlineStr">
        <is>
          <t>12 meses de piloto.</t>
        </is>
      </c>
      <c r="F9" s="10" t="inlineStr">
        <is>
          <t>K11, K27</t>
        </is>
      </c>
      <c r="G9" s="10" t="inlineStr">
        <is>
          <t>Reposición digital (K11) de 18 % a 40 %*; retención (K27) de 86 % a 90 %* (vida de 7,1 a 10 años).</t>
        </is>
      </c>
      <c r="H9" s="6" t="inlineStr">
        <is>
          <t>Alta</t>
        </is>
      </c>
    </row>
    <row r="10">
      <c r="A10" s="5" t="inlineStr">
        <is>
          <t>H6</t>
        </is>
      </c>
      <c r="B10" s="10" t="inlineStr">
        <is>
          <t>Hipótesis</t>
        </is>
      </c>
      <c r="C10" s="10" t="inlineStr">
        <is>
          <t>Si los agentes hacen lo repetible y una persona decide, esperamos más tiempo para vender y atender, y menos errores de logística.</t>
        </is>
      </c>
      <c r="D10" s="10" t="inlineStr">
        <is>
          <t>El equipo sigue haciendo a mano lo repetible y los errores de logística se mantienen.</t>
        </is>
      </c>
      <c r="E10" s="10" t="inlineStr">
        <is>
          <t>Piloto.</t>
        </is>
      </c>
      <c r="F10" s="10" t="inlineStr">
        <is>
          <t>K32, K16</t>
        </is>
      </c>
      <c r="G10" s="10" t="inlineStr">
        <is>
          <t>Reposiciones manuales (K32) bajo el 82 %* actual; OTIF (K16) sobre su línea base de 92 %*.</t>
        </is>
      </c>
      <c r="H10" s="6" t="inlineStr">
        <is>
          <t>Alta</t>
        </is>
      </c>
    </row>
    <row r="11">
      <c r="A11" s="5" t="inlineStr">
        <is>
          <t>S1</t>
        </is>
      </c>
      <c r="B11" s="10" t="inlineStr">
        <is>
          <t>Supuesto</t>
        </is>
      </c>
      <c r="C11" s="10" t="inlineStr">
        <is>
          <t>Con la propuesta al instante, parte de los clientes acepta sin hablar con nadie y otros piden una persona: los dos caminos deben existir.</t>
        </is>
      </c>
      <c r="D11" s="10" t="inlineStr">
        <is>
          <t>Si casi nadie acepta solo, la propuesta no reemplaza la conversación; si nadie pide persona, sobra dotación.</t>
        </is>
      </c>
      <c r="E11" s="10" t="inlineStr">
        <is>
          <t>Ronda 2 y piloto: % que acepta directo vs % que pide hablar, y SQL de cada camino.</t>
        </is>
      </c>
      <c r="F11" s="10" t="inlineStr">
        <is>
          <t>K04, K09</t>
        </is>
      </c>
      <c r="G11" s="10" t="inlineStr">
        <is>
          <t>Mantener los dos caminos; destacar el de mejor conversión.</t>
        </is>
      </c>
      <c r="H11" s="6" t="inlineStr">
        <is>
          <t>Alta</t>
        </is>
      </c>
    </row>
    <row r="12">
      <c r="A12" s="5" t="inlineStr">
        <is>
          <t>S2</t>
        </is>
      </c>
      <c r="B12" s="10" t="inlineStr">
        <is>
          <t>Supuesto</t>
        </is>
      </c>
      <c r="C12" s="10" t="inlineStr">
        <is>
          <t>La comuna es un buen indicador del potencial del local.</t>
        </is>
      </c>
      <c r="D12" s="10" t="inlineStr">
        <is>
          <t>Se prioriza mal y se descuidan buenos clientes de zonas C.</t>
        </is>
      </c>
      <c r="E12" s="10" t="inlineStr">
        <is>
          <t>Experimento E3: comparar ticket y conversión por zona durante 90 días.</t>
        </is>
      </c>
      <c r="F12" s="10" t="inlineStr">
        <is>
          <t>K08, K13</t>
        </is>
      </c>
      <c r="G12" s="10" t="inlineStr">
        <is>
          <t>Recalibrar puntos A/B/C según datos.</t>
        </is>
      </c>
      <c r="H12" s="6" t="inlineStr">
        <is>
          <t>Alta</t>
        </is>
      </c>
    </row>
    <row r="13">
      <c r="A13" s="5" t="inlineStr">
        <is>
          <t>S3</t>
        </is>
      </c>
      <c r="B13" s="10" t="inlineStr">
        <is>
          <t>Supuesto</t>
        </is>
      </c>
      <c r="C13" s="10" t="inlineStr">
        <is>
          <t>Una ejecutiva puede responder el chat en pocos minutos en horario hábil.</t>
        </is>
      </c>
      <c r="D13" s="10" t="inlineStr">
        <is>
          <t>Esperas largas dañan la confianza.</t>
        </is>
      </c>
      <c r="E13" s="10" t="inlineStr">
        <is>
          <t>Piloto con registro de tiempos por zona.</t>
        </is>
      </c>
      <c r="F13" s="10" t="inlineStr">
        <is>
          <t>K05</t>
        </is>
      </c>
      <c r="G13" s="10" t="inlineStr">
        <is>
          <t>Si la mediana &gt; 5 min, sumar dotación o cambiar canal por defecto.</t>
        </is>
      </c>
      <c r="H13" s="6" t="inlineStr">
        <is>
          <t>Alta</t>
        </is>
      </c>
    </row>
    <row r="14">
      <c r="A14" s="5" t="inlineStr">
        <is>
          <t>S4</t>
        </is>
      </c>
      <c r="B14" s="10" t="inlineStr">
        <is>
          <t>Supuesto</t>
        </is>
      </c>
      <c r="C14" s="10" t="inlineStr">
        <is>
          <t>Existen rutas de despacho por zona con días fijos (dato de demostración).</t>
        </is>
      </c>
      <c r="D14" s="10" t="inlineStr">
        <is>
          <t>La propuesta promete fechas que no se cumplen.</t>
        </is>
      </c>
      <c r="E14" s="10" t="inlineStr">
        <is>
          <t>Validar con logística antes del piloto.</t>
        </is>
      </c>
      <c r="F14" s="10" t="inlineStr">
        <is>
          <t>K16, K17</t>
        </is>
      </c>
      <c r="G14" s="10" t="inlineStr">
        <is>
          <t>No mostrar días de ruta hasta confirmarlos.</t>
        </is>
      </c>
      <c r="H14" s="6" t="inlineStr">
        <is>
          <t>Alta</t>
        </is>
      </c>
    </row>
    <row r="15">
      <c r="A15" s="5" t="inlineStr">
        <is>
          <t>S5</t>
        </is>
      </c>
      <c r="B15" s="10" t="inlineStr">
        <is>
          <t>Supuesto</t>
        </is>
      </c>
      <c r="C15" s="10" t="inlineStr">
        <is>
          <t>El cliente acepta indicar su comuna en el diagnóstico.</t>
        </is>
      </c>
      <c r="D15" s="10" t="inlineStr">
        <is>
          <t>Aumenta el abandono en el paso 2.</t>
        </is>
      </c>
      <c r="E15" s="10" t="inlineStr">
        <is>
          <t>Ronda 2 y embudo por paso.</t>
        </is>
      </c>
      <c r="F15" s="10" t="inlineStr">
        <is>
          <t>K03</t>
        </is>
      </c>
      <c r="G15" s="10" t="inlineStr">
        <is>
          <t>Si cae la finalización, pedir la comuna junto a los datos.</t>
        </is>
      </c>
      <c r="H15" s="6" t="inlineStr">
        <is>
          <t>Media</t>
        </is>
      </c>
    </row>
    <row r="16">
      <c r="A16" s="5" t="inlineStr">
        <is>
          <t>S7</t>
        </is>
      </c>
      <c r="B16" s="10" t="inlineStr">
        <is>
          <t>Supuesto</t>
        </is>
      </c>
      <c r="C16" s="10" t="inlineStr">
        <is>
          <t>Los lead magnets de servicio (orientación, avance, configuración y ampliación) bastan para que el cliente deje sus datos al principio, sin descuentos.</t>
        </is>
      </c>
      <c r="D16" s="10" t="inlineStr">
        <is>
          <t>Abandono en C03 (datos) antes del diagnóstico.</t>
        </is>
      </c>
      <c r="E16" s="10" t="inlineStr">
        <is>
          <t>Ronda 2 y embudo por LM en el CRM (R01 Marketing).</t>
        </is>
      </c>
      <c r="F16" s="10" t="inlineStr">
        <is>
          <t>K02, K03</t>
        </is>
      </c>
      <c r="G16" s="10" t="inlineStr">
        <is>
          <t>Si la caída más grande se repite en un LM, cambiar su promesa.</t>
        </is>
      </c>
      <c r="H16" s="6" t="inlineStr">
        <is>
          <t>Alta</t>
        </is>
      </c>
    </row>
    <row r="17">
      <c r="A17" s="5" t="inlineStr">
        <is>
          <t>S11</t>
        </is>
      </c>
      <c r="B17" s="10" t="inlineStr">
        <is>
          <t>Supuesto</t>
        </is>
      </c>
      <c r="C17" s="10" t="inlineStr">
        <is>
          <t>Pedir los datos al principio, con el avance guardado y la propuesta por correo como promesa (LM2), no ahuyenta al cliente y permite recuperar a quien abandona.</t>
        </is>
      </c>
      <c r="D17" s="10" t="inlineStr">
        <is>
          <t>Muchos abandonan en el formulario.</t>
        </is>
      </c>
      <c r="E17" s="10" t="inlineStr">
        <is>
          <t>Ronda 2 y piloto: % que deja datos en C03, % que termina el diagnóstico y % de abandonos recuperados con W4.</t>
        </is>
      </c>
      <c r="F17" s="10" t="inlineStr">
        <is>
          <t>K02, K03</t>
        </is>
      </c>
      <c r="G17" s="10" t="inlineStr">
        <is>
          <t>Si el abandono en C03 es alto, pedir solo correo al principio y el resto al solicitar la propuesta.</t>
        </is>
      </c>
      <c r="H17" s="6" t="inlineStr">
        <is>
          <t>Alta</t>
        </is>
      </c>
    </row>
    <row r="18">
      <c r="A18" s="5" t="inlineStr">
        <is>
          <t>S6</t>
        </is>
      </c>
      <c r="B18" s="10" t="inlineStr">
        <is>
          <t>Supuesto</t>
        </is>
      </c>
      <c r="C18" s="10" t="inlineStr">
        <is>
          <t>Los pesos del Financial Score v0.1 representan el valor del cliente.</t>
        </is>
      </c>
      <c r="D18" s="10" t="inlineStr">
        <is>
          <t>Decisiones de recompra y referidos mal enfocadas.</t>
        </is>
      </c>
      <c r="E18" s="10" t="inlineStr">
        <is>
          <t>Comparar con margen neto real por cliente (finanzas).</t>
        </is>
      </c>
      <c r="F18" s="10" t="inlineStr">
        <is>
          <t>K13, K20</t>
        </is>
      </c>
      <c r="G18" s="10" t="inlineStr">
        <is>
          <t>Ajustar pesos o pasar a contribución neta.</t>
        </is>
      </c>
      <c r="H18" s="6" t="inlineStr">
        <is>
          <t>Media</t>
        </is>
      </c>
    </row>
    <row r="19">
      <c r="A19" s="5" t="inlineStr">
        <is>
          <t>T1</t>
        </is>
      </c>
      <c r="B19" s="10" t="inlineStr">
        <is>
          <t>Trade-off</t>
        </is>
      </c>
      <c r="C19" s="10" t="inlineStr">
        <is>
          <t>Contacto humano inmediato vs autoservicio completo.</t>
        </is>
      </c>
      <c r="D19" s="10" t="inlineStr">
        <is>
          <t>Más carga para el equipo comercial.</t>
        </is>
      </c>
      <c r="E19" s="10" t="inlineStr">
        <is>
          <t>Se mantiene la opción «solo ver mi recomendación».</t>
        </is>
      </c>
      <c r="F19" s="10" t="inlineStr">
        <is>
          <t>K04, K05</t>
        </is>
      </c>
      <c r="G19" s="10" t="inlineStr">
        <is>
          <t>—</t>
        </is>
      </c>
      <c r="H19" s="6" t="inlineStr">
        <is>
          <t>—</t>
        </is>
      </c>
    </row>
    <row r="20">
      <c r="A20" s="5" t="inlineStr">
        <is>
          <t>T2</t>
        </is>
      </c>
      <c r="B20" s="10" t="inlineStr">
        <is>
          <t>Trade-off</t>
        </is>
      </c>
      <c r="C20" s="10" t="inlineStr">
        <is>
          <t>3 pasos con lo típico ya marcado (rápido) vs más preguntas (propuesta más precisa).</t>
        </is>
      </c>
      <c r="D20" s="10" t="inlineStr">
        <is>
          <t>La sugerencia por negocio no calza y la persona no la corrige.</t>
        </is>
      </c>
      <c r="E20" s="10" t="inlineStr">
        <is>
          <t>Rótulo «Sugerido para tu negocio»; la ejecutiva confirma en la conversación.</t>
        </is>
      </c>
      <c r="F20" s="10" t="inlineStr">
        <is>
          <t>K03</t>
        </is>
      </c>
      <c r="G20" s="10" t="inlineStr">
        <is>
          <t>—</t>
        </is>
      </c>
      <c r="H20" s="6" t="inlineStr">
        <is>
          <t>—</t>
        </is>
      </c>
    </row>
    <row r="21">
      <c r="A21" s="5" t="inlineStr">
        <is>
          <t>T3</t>
        </is>
      </c>
      <c r="B21" s="10" t="inlineStr">
        <is>
          <t>Trade-off</t>
        </is>
      </c>
      <c r="C21" s="10" t="inlineStr">
        <is>
          <t>Rangos de precio supuestos en el portal vs precio exacto.</t>
        </is>
      </c>
      <c r="D21" s="10" t="inlineStr">
        <is>
          <t>Un rango mal calibrado genera expectativas falsas.</t>
        </is>
      </c>
      <c r="E21" s="10" t="inlineStr">
        <is>
          <t>Rótulo «supuesto» y precio real en la cotización formal de la ejecutiva; se mide en T5.</t>
        </is>
      </c>
      <c r="F21" s="10" t="inlineStr">
        <is>
          <t>K09</t>
        </is>
      </c>
      <c r="G21" s="10" t="inlineStr">
        <is>
          <t>—</t>
        </is>
      </c>
      <c r="H21" s="6" t="inlineStr">
        <is>
          <t>—</t>
        </is>
      </c>
    </row>
    <row r="22">
      <c r="A22" s="5" t="inlineStr">
        <is>
          <t>S8</t>
        </is>
      </c>
      <c r="B22" s="10" t="inlineStr">
        <is>
          <t>Supuesto</t>
        </is>
      </c>
      <c r="C22" s="10" t="inlineStr">
        <is>
          <t>Los rangos de máquinas, café por kilo, pods y servicios (hoja 19) son razonables para el mercado chileno.</t>
        </is>
      </c>
      <c r="D22" s="10" t="inlineStr">
        <is>
          <t>El cliente descarta la solución por precio o la ejecutiva no puede sostenerlo.</t>
        </is>
      </c>
      <c r="E22" s="10" t="inlineStr">
        <is>
          <t>Validar con Marley Coffee y 3 cotizaciones de competidores antes del piloto.</t>
        </is>
      </c>
      <c r="F22" s="10" t="inlineStr">
        <is>
          <t>K09</t>
        </is>
      </c>
      <c r="G22" s="10" t="inlineStr">
        <is>
          <t>Reemplazar cada supuesto por el precio real o quitarlo.</t>
        </is>
      </c>
      <c r="H22" s="6" t="inlineStr">
        <is>
          <t>Alta</t>
        </is>
      </c>
    </row>
    <row r="23">
      <c r="A23" s="5" t="inlineStr">
        <is>
          <t>S9</t>
        </is>
      </c>
      <c r="B23" s="10" t="inlineStr">
        <is>
          <t>Supuesto</t>
        </is>
      </c>
      <c r="C23" s="10" t="inlineStr">
        <is>
          <t>Las recreaciones con IA (escenas y fondos) representan bien la marca sin confundirse con clientes reales.</t>
        </is>
      </c>
      <c r="D23" s="10" t="inlineStr">
        <is>
          <t>Se lee como caso real o la marca se ve mal.</t>
        </is>
      </c>
      <c r="E23" s="10" t="inlineStr">
        <is>
          <t>Rótulo «recreación ilustrativa» y revisión de marca cuadro a cuadro.</t>
        </is>
      </c>
      <c r="F23" s="10" t="inlineStr">
        <is>
          <t>—</t>
        </is>
      </c>
      <c r="G23" s="10" t="inlineStr">
        <is>
          <t>Usar fotos reales de clientes cuando existan.</t>
        </is>
      </c>
      <c r="H23" s="6" t="inlineStr">
        <is>
          <t>Media</t>
        </is>
      </c>
    </row>
    <row r="24">
      <c r="A24" s="5" t="inlineStr">
        <is>
          <t>S10</t>
        </is>
      </c>
      <c r="B24" s="10" t="inlineStr">
        <is>
          <t>Supuesto</t>
        </is>
      </c>
      <c r="C24" s="10" t="inlineStr">
        <is>
          <t>Cargar las fuentes desde el servidor oficial de Marley Coffee es aceptable (CORS abierto).</t>
        </is>
      </c>
      <c r="D24" s="10" t="inlineStr">
        <is>
          <t>Si cambia el servidor, cae a la fuente de respaldo.</t>
        </is>
      </c>
      <c r="E24" s="10" t="inlineStr">
        <is>
          <t>Confirmar con Marley Coffee el uso y alojar en el sitio final.</t>
        </is>
      </c>
      <c r="F24" s="10" t="inlineStr">
        <is>
          <t>—</t>
        </is>
      </c>
      <c r="G24" s="10" t="inlineStr">
        <is>
          <t>Alojar las fuentes con licencia en producción.</t>
        </is>
      </c>
      <c r="H24" s="6" t="inlineStr">
        <is>
          <t>Baja</t>
        </is>
      </c>
    </row>
    <row r="25">
      <c r="A25" s="5" t="inlineStr">
        <is>
          <t>T4</t>
        </is>
      </c>
      <c r="B25" s="10" t="inlineStr">
        <is>
          <t>Trade-off</t>
        </is>
      </c>
      <c r="C25" s="10" t="inlineStr">
        <is>
          <t>Prioridad geográfica en el puntaje.</t>
        </is>
      </c>
      <c r="D25" s="10" t="inlineStr">
        <is>
          <t>Sesgo contra zonas C y regiones.</t>
        </is>
      </c>
      <c r="E25" s="10" t="inlineStr">
        <is>
          <t>Revisión mensual del panel por zona.</t>
        </is>
      </c>
      <c r="F25" s="10" t="inlineStr">
        <is>
          <t>K07, K08</t>
        </is>
      </c>
      <c r="G25" s="10" t="inlineStr">
        <is>
          <t>—</t>
        </is>
      </c>
      <c r="H25" s="6" t="inlineStr">
        <is>
          <t>—</t>
        </is>
      </c>
    </row>
    <row r="26">
      <c r="A26" s="5" t="inlineStr">
        <is>
          <t>E1</t>
        </is>
      </c>
      <c r="B26" s="10" t="inlineStr">
        <is>
          <t>Experimento</t>
        </is>
      </c>
      <c r="C26" s="10" t="inlineStr">
        <is>
          <t>Test de usabilidad: ronda 1 con 5 participantes (15-10-2026, hecha); ronda 2 con 2 o 3 personas después de los cambios v6.</t>
        </is>
      </c>
      <c r="D26" s="10" t="inlineStr">
        <is>
          <t>—</t>
        </is>
      </c>
      <c r="E26" s="10" t="inlineStr">
        <is>
          <t>07_TEST_PLAN, 08_TEST_REGISTRO y 22_CAMBIOS_TEST.</t>
        </is>
      </c>
      <c r="F26" s="10" t="inlineStr">
        <is>
          <t>K22–K24</t>
        </is>
      </c>
      <c r="G26" s="10" t="inlineStr">
        <is>
          <t>Cumplir las metas de la hoja 22; sin severidad 4 abierta.</t>
        </is>
      </c>
      <c r="H26" s="6" t="inlineStr">
        <is>
          <t>1</t>
        </is>
      </c>
    </row>
    <row r="27">
      <c r="A27" s="5" t="inlineStr">
        <is>
          <t>E2</t>
        </is>
      </c>
      <c r="B27" s="10" t="inlineStr">
        <is>
          <t>Experimento</t>
        </is>
      </c>
      <c r="C27" s="10" t="inlineStr">
        <is>
          <t>A/B de ayuda en chat y claridad del seguimiento por correo en el piloto.</t>
        </is>
      </c>
      <c r="D27" s="10" t="inlineStr">
        <is>
          <t>—</t>
        </is>
      </c>
      <c r="E27" s="10" t="inlineStr">
        <is>
          <t>Asignación alternada por semana.</t>
        </is>
      </c>
      <c r="F27" s="10" t="inlineStr">
        <is>
          <t>K04, K08</t>
        </is>
      </c>
      <c r="G27" s="10" t="inlineStr">
        <is>
          <t>Quedarse con el de mayor SQL sin subir tiempos.</t>
        </is>
      </c>
      <c r="H27" s="6" t="inlineStr">
        <is>
          <t>2</t>
        </is>
      </c>
    </row>
    <row r="28">
      <c r="A28" s="5" t="inlineStr">
        <is>
          <t>E3</t>
        </is>
      </c>
      <c r="B28" s="10" t="inlineStr">
        <is>
          <t>Experimento</t>
        </is>
      </c>
      <c r="C28" s="10" t="inlineStr">
        <is>
          <t>Calibración de prioridad por comuna con ventas reales.</t>
        </is>
      </c>
      <c r="D28" s="10" t="inlineStr">
        <is>
          <t>—</t>
        </is>
      </c>
      <c r="E28" s="10" t="inlineStr">
        <is>
          <t>90 días de piloto, por comuna.</t>
        </is>
      </c>
      <c r="F28" s="10" t="inlineStr">
        <is>
          <t>K08, K13</t>
        </is>
      </c>
      <c r="G28" s="10" t="inlineStr">
        <is>
          <t>Ajustar A/B/C y potencial.</t>
        </is>
      </c>
      <c r="H28" s="6" t="inlineStr">
        <is>
          <t>2</t>
        </is>
      </c>
    </row>
    <row r="29">
      <c r="A29" s="5" t="inlineStr">
        <is>
          <t>E4</t>
        </is>
      </c>
      <c r="B29" s="10" t="inlineStr">
        <is>
          <t>Experimento</t>
        </is>
      </c>
      <c r="C29" s="10" t="inlineStr">
        <is>
          <t>Correo «Retoma tu solución» con video vs sin video (W4).</t>
        </is>
      </c>
      <c r="D29" s="10" t="inlineStr">
        <is>
          <t>—</t>
        </is>
      </c>
      <c r="E29" s="10" t="inlineStr">
        <is>
          <t>Grupos alternados.</t>
        </is>
      </c>
      <c r="F29" s="10" t="inlineStr">
        <is>
          <t>K03, K04</t>
        </is>
      </c>
      <c r="G29" s="10" t="inlineStr">
        <is>
          <t>Mantener la versión con más retomas.</t>
        </is>
      </c>
      <c r="H29" s="6" t="inlineStr">
        <is>
          <t>3</t>
        </is>
      </c>
    </row>
    <row r="30">
      <c r="A30" s="5" t="inlineStr">
        <is>
          <t>E5</t>
        </is>
      </c>
      <c r="B30" s="10" t="inlineStr">
        <is>
          <t>Experimento</t>
        </is>
      </c>
      <c r="C30" s="10" t="inlineStr">
        <is>
          <t>Botón Empresas: nombre, ubicación, color y tamaño en la tienda, en escritorio y en celular (punto de partida del recorrido).</t>
        </is>
      </c>
      <c r="D30" s="10" t="inlineStr">
        <is>
          <t>—</t>
        </is>
      </c>
      <c r="E30" s="10" t="inlineStr">
        <is>
          <t>Variantes alternadas por semana con el mismo tráfico; el clic se mide por evento (K01).</t>
        </is>
      </c>
      <c r="F30" s="10" t="inlineStr">
        <is>
          <t>K01</t>
        </is>
      </c>
      <c r="G30" s="10" t="inlineStr">
        <is>
          <t>Quedarse con la combinación de más clics únicos a Empresas sin subir el abandono del inicio.</t>
        </is>
      </c>
      <c r="H30" s="6" t="inlineStr">
        <is>
          <t>1</t>
        </is>
      </c>
    </row>
    <row r="31">
      <c r="A31" s="5" t="inlineStr">
        <is>
          <t>E6</t>
        </is>
      </c>
      <c r="B31" s="10" t="inlineStr">
        <is>
          <t>Experimento</t>
        </is>
      </c>
      <c r="C31" s="10" t="inlineStr">
        <is>
          <t>Landing SEM idéntica sin menú contra la versión con menú, con el mismo texto, la misma oferta y el mismo origen marcado con UTM.</t>
        </is>
      </c>
      <c r="D31" s="10" t="inlineStr">
        <is>
          <t>—</t>
        </is>
      </c>
      <c r="E31" s="10" t="inlineStr">
        <is>
          <t>Grupos alternados con el mismo presupuesto y la misma palabra clave.</t>
        </is>
      </c>
      <c r="F31" s="10" t="inlineStr">
        <is>
          <t>K01, K02</t>
        </is>
      </c>
      <c r="G31" s="10" t="inlineStr">
        <is>
          <t>Mantener la versión con más identificación (K02), no la de más clics.</t>
        </is>
      </c>
      <c r="H31" s="6" t="inlineStr">
        <is>
          <t>2</t>
        </is>
      </c>
    </row>
    <row r="32">
      <c r="A32" s="7" t="inlineStr">
        <is>
          <t>E7</t>
        </is>
      </c>
      <c r="B32" s="14" t="inlineStr">
        <is>
          <t>Experimento</t>
        </is>
      </c>
      <c r="C32" s="14" t="inlineStr">
        <is>
          <t>Orden de los lead magnets: el de servicio antes de los datos contra el de continuidad (LM2) antes de los datos.</t>
        </is>
      </c>
      <c r="D32" s="14" t="inlineStr">
        <is>
          <t>—</t>
        </is>
      </c>
      <c r="E32" s="14" t="inlineStr">
        <is>
          <t>Grupos alternados en la ronda 2 y en el piloto; el embudo por paso queda registrado en el CRM.</t>
        </is>
      </c>
      <c r="F32" s="14" t="inlineStr">
        <is>
          <t>K02, K03</t>
        </is>
      </c>
      <c r="G32" s="14" t="inlineStr">
        <is>
          <t>Mantener el orden con más finalización del diagnóstico, siempre sin descuentos.</t>
        </is>
      </c>
      <c r="H32" s="8" t="inlineStr">
        <is>
          <t>2</t>
        </is>
      </c>
    </row>
  </sheetData>
  <mergeCells count="1">
    <mergeCell ref="A2:H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3F3F40"/>
    <outlinePr summaryBelow="1" summaryRight="1"/>
    <pageSetUpPr fitToPage="1"/>
  </sheetPr>
  <dimension ref="A1:B50"/>
  <sheetViews>
    <sheetView showGridLines="0" zoomScale="90" workbookViewId="0">
      <pane ySplit="4" topLeftCell="A5" activePane="bottomLeft" state="frozen"/>
      <selection pane="bottomLeft" activeCell="A1" sqref="A1"/>
    </sheetView>
  </sheetViews>
  <sheetFormatPr baseColWidth="8" defaultRowHeight="15"/>
  <cols>
    <col width="26" customWidth="1" min="1" max="1"/>
    <col width="120" customWidth="1" min="2" max="2"/>
  </cols>
  <sheetData>
    <row r="1" ht="28" customHeight="1">
      <c r="A1" s="1" t="inlineStr">
        <is>
          <t>Glosario mínimo de métricas y definiciones</t>
        </is>
      </c>
      <c r="B1" s="2" t="n"/>
    </row>
    <row r="2" ht="16" customHeight="1">
      <c r="A2" s="3" t="inlineStr">
        <is>
          <t>Mismos criterios en informe, prototipo y anexos.</t>
        </is>
      </c>
    </row>
    <row r="3"/>
    <row r="4" ht="30" customHeight="1">
      <c r="A4" s="4" t="inlineStr">
        <is>
          <t>Término</t>
        </is>
      </c>
      <c r="B4" s="4" t="inlineStr">
        <is>
          <t>Definición</t>
        </is>
      </c>
    </row>
    <row r="5">
      <c r="A5" s="5" t="inlineStr">
        <is>
          <t>Lead</t>
        </is>
      </c>
      <c r="B5" s="6" t="inlineStr">
        <is>
          <t>Contacto que dejó sus datos y todavía no está calificado; en este MVP son los tres primeros campos del recorrido.</t>
        </is>
      </c>
    </row>
    <row r="6">
      <c r="A6" s="5" t="inlineStr">
        <is>
          <t>Embudo de ventas</t>
        </is>
      </c>
      <c r="B6" s="6" t="inlineStr">
        <is>
          <t>El recorrido del cliente por etapas —lead, MQL, SQL, propuesta y cliente—; ordena la venta y dice en qué etapa está cada contacto.</t>
        </is>
      </c>
    </row>
    <row r="7">
      <c r="A7" s="5" t="inlineStr">
        <is>
          <t>AARRR</t>
        </is>
      </c>
      <c r="B7" s="6" t="inlineStr">
        <is>
          <t>Marco para medir cada vuelta del flywheel: adquisición, activación, retención, referidos e ingresos. No ordena la venta: dice qué medir y qué probar.</t>
        </is>
      </c>
    </row>
    <row r="8">
      <c r="A8" s="5" t="inlineStr">
        <is>
          <t>Flywheel</t>
        </is>
      </c>
      <c r="B8" s="6" t="inlineStr">
        <is>
          <t>Modelo de inbound en que atraer, interactuar y deleitar giran alrededor del cliente, y el promotor vuelve a atraer con sus referidos; el embudo vive adentro.</t>
        </is>
      </c>
    </row>
    <row r="9">
      <c r="A9" s="5" t="inlineStr">
        <is>
          <t>SEO / SEM</t>
        </is>
      </c>
      <c r="B9" s="6" t="inlineStr">
        <is>
          <t>Búsqueda: SEO es aparecer sin pagar (Search Engine Optimization) y SEM es el anuncio pagado (Search Engine Marketing). Aquí la búsqueda se elige por intención de compra.</t>
        </is>
      </c>
    </row>
    <row r="10">
      <c r="A10" s="5" t="inlineStr">
        <is>
          <t>UTM</t>
        </is>
      </c>
      <c r="B10" s="6" t="inlineStr">
        <is>
          <t>Etiqueta que se agrega al enlace para saber de qué canal, campaña o anuncio llegó cada visita (Urchin Tracking Module); es lo que permite atribuir cada peso en medios.</t>
        </is>
      </c>
    </row>
    <row r="11">
      <c r="A11" s="5" t="inlineStr">
        <is>
          <t>KPI</t>
        </is>
      </c>
      <c r="B11" s="6" t="inlineStr">
        <is>
          <t>Indicador clave de desempeño: la cifra con la que se juzga si una acción funcionó. Cada KPI del informe lleva fuente, frecuencia y responsable (Anexo E, hoja 04).</t>
        </is>
      </c>
    </row>
    <row r="12">
      <c r="A12" s="5" t="inlineStr">
        <is>
          <t>E-commerce</t>
        </is>
      </c>
      <c r="B12" s="6" t="inlineStr">
        <is>
          <t>Comercio electrónico: la compra y el pago en línea. Aquí, la parte asistida para empresas, que convive con los canales humanos.</t>
        </is>
      </c>
    </row>
    <row r="13">
      <c r="A13" s="5" t="inlineStr">
        <is>
          <t>Blueprint</t>
        </is>
      </c>
      <c r="B13" s="6" t="inlineStr">
        <is>
          <t>Plano del inbound: la lámina que muestra el flywheel con su táctica, su pieza, su lead magnet, su workflow y su KPI por etapa (Anexo F).</t>
        </is>
      </c>
    </row>
    <row r="14">
      <c r="A14" s="5" t="inlineStr">
        <is>
          <t>Mockups</t>
        </is>
      </c>
      <c r="B14" s="6" t="inlineStr">
        <is>
          <t>Pantallas del prototipo con la marca, las fotos oficiales y las escenas, tal como se ven en el sitio (Anexo C).</t>
        </is>
      </c>
    </row>
    <row r="15">
      <c r="A15" s="5" t="inlineStr">
        <is>
          <t>Prompt</t>
        </is>
      </c>
      <c r="B15" s="6" t="inlineStr">
        <is>
          <t>Instrucción escrita que el equipo le da a una herramienta de inteligencia artificial; los prompts principales se declaran en el Anexo I del informe.</t>
        </is>
      </c>
    </row>
    <row r="16">
      <c r="A16" s="5" t="inlineStr">
        <is>
          <t>Pods</t>
        </is>
      </c>
      <c r="B16" s="6" t="inlineStr">
        <is>
          <t>Línea de cápsulas de Marley Coffee: espresso en dosis individuales, dos tazas a la vez. Es el nombre con que la marca ofrece ese formato.</t>
        </is>
      </c>
    </row>
    <row r="17">
      <c r="A17" s="5" t="inlineStr">
        <is>
          <t>MQL</t>
        </is>
      </c>
      <c r="B17" s="6" t="inlineStr">
        <is>
          <t>Contacto calificado por marketing: dejó correo con permiso, declaró un negocio HORECA y tiene 40 puntos o más de puntaje de interés y ajuste.</t>
        </is>
      </c>
    </row>
    <row r="18">
      <c r="A18" s="5" t="inlineStr">
        <is>
          <t>SQL</t>
        </is>
      </c>
      <c r="B18" s="6" t="inlineStr">
        <is>
          <t>MQL con señal comercial (pidió persona o propuesta) que una persona del equipo acepta como oportunidad.</t>
        </is>
      </c>
    </row>
    <row r="19">
      <c r="A19" s="5" t="inlineStr">
        <is>
          <t>Puntaje de interés y ajuste (Engagement Score v1.1)</t>
        </is>
      </c>
      <c r="B19" s="6" t="inlineStr">
        <is>
          <t>El «puntaje» del informe: suma de 13 eventos M2 más el evento 14 (comuna), cada uno una vez, con tope 100. Mide la intención de un prospecto.</t>
        </is>
      </c>
    </row>
    <row r="20">
      <c r="A20" s="5" t="inlineStr">
        <is>
          <t>Puntaje financiero de la cuenta (Financial Score v0.1)</t>
        </is>
      </c>
      <c r="B20" s="6" t="inlineStr">
        <is>
          <t>0,30 ticket + 0,25 frecuencia + 0,20 margen + 0,10 amplitud + 0,15 zona (0–100). Solo para clientes con compras.</t>
        </is>
      </c>
    </row>
    <row r="21">
      <c r="A21" s="5" t="inlineStr">
        <is>
          <t>Banda</t>
        </is>
      </c>
      <c r="B21" s="6" t="inlineStr">
        <is>
          <t>Tramo del puntaje de interés y ajuste: 0–19 Exploración, 20–39 Identificado, 40–59 Calificado, 60–79 Alta intención, 80–100 Prioridad máxima.</t>
        </is>
      </c>
    </row>
    <row r="22">
      <c r="A22" s="5" t="inlineStr">
        <is>
          <t>Prioridad de zona</t>
        </is>
      </c>
      <c r="B22" s="6" t="inlineStr">
        <is>
          <t>A, B, C o regiones según la comuna del local; hipótesis por ticket esperado, densidad HORECA y cobertura de ruta.</t>
        </is>
      </c>
    </row>
    <row r="23">
      <c r="A23" s="5" t="inlineStr">
        <is>
          <t>Ticket promedio</t>
        </is>
      </c>
      <c r="B23" s="6" t="inlineStr">
        <is>
          <t>Ventas del período / número de pedidos del período.</t>
        </is>
      </c>
    </row>
    <row r="24">
      <c r="A24" s="5" t="inlineStr">
        <is>
          <t>Frecuencia de compra</t>
        </is>
      </c>
      <c r="B24" s="6" t="inlineStr">
        <is>
          <t>Promedio de días entre pedidos consecutivos de un cliente.</t>
        </is>
      </c>
    </row>
    <row r="25">
      <c r="A25" s="5" t="inlineStr">
        <is>
          <t>Cliente nuevo / ocasional / frecuente</t>
        </is>
      </c>
      <c r="B25" s="6" t="inlineStr">
        <is>
          <t>Nuevo: primera compra en 90 días. Ocasional: 1 o 2 compras en 90 días. Frecuente: más de 2. Inactivo: sin compras en 90 días.</t>
        </is>
      </c>
    </row>
    <row r="26">
      <c r="A26" s="5" t="inlineStr">
        <is>
          <t>Reposición digital</t>
        </is>
      </c>
      <c r="B26" s="6" t="inlineStr">
        <is>
          <t>Reposiciones hechas por canal digital / reposiciones totales del período.</t>
        </is>
      </c>
    </row>
    <row r="27">
      <c r="A27" s="5" t="inlineStr">
        <is>
          <t>OTIF</t>
        </is>
      </c>
      <c r="B27" s="6" t="inlineStr">
        <is>
          <t>Pedidos entregados completos y en la fecha comprometida / pedidos con fecha comprometida.</t>
        </is>
      </c>
    </row>
    <row r="28">
      <c r="A28" s="5" t="inlineStr">
        <is>
          <t>Lead time de despacho</t>
        </is>
      </c>
      <c r="B28" s="6" t="inlineStr">
        <is>
          <t>Tiempo entre la confirmación del pedido y la entrega.</t>
        </is>
      </c>
    </row>
    <row r="29">
      <c r="A29" s="5" t="inlineStr">
        <is>
          <t>Fill rate</t>
        </is>
      </c>
      <c r="B29" s="6" t="inlineStr">
        <is>
          <t>Unidades entregadas / unidades pedidas.</t>
        </is>
      </c>
    </row>
    <row r="30">
      <c r="A30" s="5" t="inlineStr">
        <is>
          <t>Quiebre de stock</t>
        </is>
      </c>
      <c r="B30" s="6" t="inlineStr">
        <is>
          <t>SKU sin stock / SKU activos.</t>
        </is>
      </c>
    </row>
    <row r="31">
      <c r="A31" s="5" t="inlineStr">
        <is>
          <t>Éxito de tarea</t>
        </is>
      </c>
      <c r="B31" s="6" t="inlineStr">
        <is>
          <t>Tareas completadas sin ayuda / tareas intentadas en el test.</t>
        </is>
      </c>
    </row>
    <row r="32">
      <c r="A32" s="5" t="inlineStr">
        <is>
          <t>SEQ</t>
        </is>
      </c>
      <c r="B32" s="6" t="inlineStr">
        <is>
          <t>Pregunta única de facilidad que se hace justo después de cada tarea (Sauro 2010 [25]); aquí en escala 1 a 7.</t>
        </is>
      </c>
    </row>
    <row r="33">
      <c r="A33" s="5" t="inlineStr">
        <is>
          <t>SUS</t>
        </is>
      </c>
      <c r="B33" s="6" t="inlineStr">
        <is>
          <t>Cuestionario de 10 ítems; puntaje 0–100; promedio de referencia 68 (Sauro 2011 [24]).</t>
        </is>
      </c>
    </row>
    <row r="34">
      <c r="A34" s="5" t="inlineStr">
        <is>
          <t>Severidad</t>
        </is>
      </c>
      <c r="B34" s="6" t="inlineStr">
        <is>
          <t>0 a 4 según Nielsen (1994) [22]: frecuencia, impacto y persistencia del problema.</t>
        </is>
      </c>
    </row>
    <row r="35">
      <c r="A35" s="5" t="inlineStr">
        <is>
          <t>Lead magnet (LM)</t>
        </is>
      </c>
      <c r="B35" s="6" t="inlineStr">
        <is>
          <t>Algo de valor que el cliente recibe a cambio de un esfuerzo (clic, datos, diagnóstico), visible antes de pedirlo. En este MVP tiene tres tipos: servicio, continuidad y presencia de marca; nunca precio ni descuento.</t>
        </is>
      </c>
    </row>
    <row r="36">
      <c r="A36" s="5" t="inlineStr">
        <is>
          <t>Omnicanalidad</t>
        </is>
      </c>
      <c r="B36" s="6" t="inlineStr">
        <is>
          <t>El chat asesora y conserva el contexto; la ejecutiva responde por correo con el resumen del mismo caso.</t>
        </is>
      </c>
    </row>
    <row r="37">
      <c r="A37" s="5" t="inlineStr">
        <is>
          <t>Workflow / gatillador</t>
        </is>
      </c>
      <c r="B37" s="6" t="inlineStr">
        <is>
          <t>Secuencia automática que se activa por un evento del cliente (gatillador) y una condición; tiene espera, canal, contenido y salida.</t>
        </is>
      </c>
    </row>
    <row r="38">
      <c r="A38" s="5" t="inlineStr">
        <is>
          <t>Agente IA</t>
        </is>
      </c>
      <c r="B38" s="6" t="inlineStr">
        <is>
          <t>Componente que interpreta señales y propone o hace tareas de bajo riesgo; lo comercial e irreversible lo aprueba una persona.</t>
        </is>
      </c>
    </row>
    <row r="39">
      <c r="A39" s="5" t="inlineStr">
        <is>
          <t>Capa agéntica</t>
        </is>
      </c>
      <c r="B39" s="6" t="inlineStr">
        <is>
          <t>Nivel donde los agentes de IA cruzan el CRM con la logística, el ERP y los pagos, y proponen o hacen tareas de bajo riesgo; lo irreversible lo aprueba una persona.</t>
        </is>
      </c>
    </row>
    <row r="40">
      <c r="A40" s="5" t="inlineStr">
        <is>
          <t>Capa predictiva</t>
        </is>
      </c>
      <c r="B40" s="6" t="inlineStr">
        <is>
          <t>Nivel que usa los datos acumulados para anticipar qué reponer, a quién atender y qué ofrecer antes de que el cliente lo pida.</t>
        </is>
      </c>
    </row>
    <row r="41">
      <c r="A41" s="5" t="inlineStr">
        <is>
          <t>Datos por capas</t>
        </is>
      </c>
      <c r="B41" s="6" t="inlineStr">
        <is>
          <t>Pedir los datos en cuatro tandas a lo largo del recorrido en vez de un formulario largo: identificación, calificación, operación y cuenta.</t>
        </is>
      </c>
    </row>
    <row r="42">
      <c r="A42" s="5" t="inlineStr">
        <is>
          <t>KAM</t>
        </is>
      </c>
      <c r="B42" s="6" t="inlineStr">
        <is>
          <t>Key Account Manager: la persona que ve el historial de una cuenta y responde por su recompra y su relación; en el CRM tiene su propia vista.</t>
        </is>
      </c>
    </row>
    <row r="43">
      <c r="A43" s="5" t="inlineStr">
        <is>
          <t>Propuesta al instante</t>
        </is>
      </c>
      <c r="B43" s="6" t="inlineStr">
        <is>
          <t>Propuesta que arma el agente de ventas apenas el cliente termina el diagnóstico de 3 pasos: máquina, modalidad, café al mes y precio mensual estimado. La ejecutiva la confirma con el precio real.</t>
        </is>
      </c>
    </row>
    <row r="44">
      <c r="A44" s="5" t="str">
        <v>Comodato y abastecimiento</v>
      </c>
      <c r="B44" s="6" t="str">
        <v>Préstamo del equipo con compra mensual de insumos. La carga base se paga antes de instalar. Referencia bajo/medio flujo:1.491.220CLP netos; no es mensualidad ni precio de la máquina. Mínimo mensual y modelos pendientes de confirmación.</v>
      </c>
    </row>
    <row r="45">
      <c r="A45" s="5" t="inlineStr">
        <is>
          <t>Venta cruzada</t>
        </is>
      </c>
      <c r="B45" s="6" t="inlineStr">
        <is>
          <t>Ofrecer un producto o servicio complementario dentro de la misma propuesta (en inglés, cross-selling). Solo se recomienda lo que existe en catálogo y hay en stock, y nunca cambia el precio del café.</t>
        </is>
      </c>
    </row>
    <row r="46">
      <c r="A46" s="5" t="inlineStr">
        <is>
          <t>Sobestock</t>
        </is>
      </c>
      <c r="B46" s="6" t="inlineStr">
        <is>
          <t>Exceso de stock sobre lo que la rotación del cliente justifica. En este MVP es una hipótesis del piloto, no una función: se mide cuando el stock esté conectado.</t>
        </is>
      </c>
    </row>
    <row r="47">
      <c r="A47" s="5" t="inlineStr">
        <is>
          <t>Sugerido para tu negocio</t>
        </is>
      </c>
      <c r="B47" s="6" t="inlineStr">
        <is>
          <t>Valor marcado de antemano con lo típico de cada tipo de negocio (supuesto del prototipo); el cliente lo cambia si no calza.</t>
        </is>
      </c>
    </row>
    <row r="48">
      <c r="A48" s="5" t="inlineStr">
        <is>
          <t>Tiempos por etapa</t>
        </is>
      </c>
      <c r="B48" s="6" t="inlineStr">
        <is>
          <t>Segundos de cada pantalla sumados por etapa del recorrido (buscar Empresas, ver productos, dejar datos, contar su negocio, ver la propuesta y confirmación), medidos por el test integrado.</t>
        </is>
      </c>
    </row>
    <row r="49">
      <c r="A49" s="5" t="inlineStr">
        <is>
          <t>Momento de deleite</t>
        </is>
      </c>
      <c r="B49" s="6" t="inlineStr">
        <is>
          <t>El resultado que el cliente siente cuando la fricción desaparece, con su indicador al lado; cada fila de la Tabla 2 convierte una fricción medida en un momento de deleite.</t>
        </is>
      </c>
    </row>
    <row r="50">
      <c r="A50" s="7" t="inlineStr">
        <is>
          <t>Toque sin respuesta</t>
        </is>
      </c>
      <c r="B50" s="8" t="inlineStr">
        <is>
          <t>Toque o clic en algo que no hace nada: señal de que la persona esperaba otra cosa.</t>
        </is>
      </c>
    </row>
  </sheetData>
  <mergeCells count="1">
    <mergeCell ref="A2:B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tabColor rgb="003F3F40"/>
    <outlinePr summaryBelow="1" summaryRight="1"/>
    <pageSetUpPr fitToPage="1"/>
  </sheetPr>
  <dimension ref="A1:D36"/>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12" customWidth="1" min="2" max="2"/>
    <col width="52" customWidth="1" min="3" max="3"/>
    <col width="70" customWidth="1" min="4" max="4"/>
  </cols>
  <sheetData>
    <row r="1" ht="28" customHeight="1">
      <c r="A1" s="1" t="inlineStr">
        <is>
          <t>Versiones y nombres de archivos</t>
        </is>
      </c>
      <c r="B1" s="2" t="n"/>
      <c r="C1" s="2" t="n"/>
      <c r="D1" s="2" t="n"/>
    </row>
    <row r="2" ht="16" customHeight="1">
      <c r="A2" s="3" t="inlineStr">
        <is>
          <t>Los nombres coinciden con los archivos entregados.</t>
        </is>
      </c>
    </row>
    <row r="3"/>
    <row r="4" ht="30" customHeight="1">
      <c r="A4" s="4" t="inlineStr">
        <is>
          <t>Versión</t>
        </is>
      </c>
      <c r="B4" s="4" t="inlineStr">
        <is>
          <t>Fecha</t>
        </is>
      </c>
      <c r="C4" s="4" t="inlineStr">
        <is>
          <t>Archivo</t>
        </is>
      </c>
      <c r="D4" s="4" t="inlineStr">
        <is>
          <t>Cambio principal</t>
        </is>
      </c>
    </row>
    <row r="5">
      <c r="A5" s="5" t="inlineStr">
        <is>
          <t>0.5</t>
        </is>
      </c>
      <c r="B5" s="10" t="inlineStr">
        <is>
          <t>08-10-2026</t>
        </is>
      </c>
      <c r="C5" s="10" t="inlineStr">
        <is>
          <t>Informe_Primario_MVP_HORECA_Marley_Coffee.docx</t>
        </is>
      </c>
      <c r="D5" s="6" t="inlineStr">
        <is>
          <t>Informe primario previo al test (navegación y lenguaje).</t>
        </is>
      </c>
    </row>
    <row r="6">
      <c r="A6" s="5" t="inlineStr">
        <is>
          <t>0.6</t>
        </is>
      </c>
      <c r="B6" s="10" t="inlineStr">
        <is>
          <t>10-10-2026</t>
        </is>
      </c>
      <c r="C6" s="10" t="inlineStr">
        <is>
          <t>Informe_Primario_MVP_HORECA_Marley_Coffee.docx</t>
        </is>
      </c>
      <c r="D6" s="6" t="inlineStr">
        <is>
          <t>Rediseño v4: contacto humano inmediato, geografía en los dos puntajes, CRM por rol.</t>
        </is>
      </c>
    </row>
    <row r="7">
      <c r="A7" s="5" t="inlineStr">
        <is>
          <t>1.0</t>
        </is>
      </c>
      <c r="B7" s="10" t="inlineStr">
        <is>
          <t>10-10-2026</t>
        </is>
      </c>
      <c r="C7" s="10" t="inlineStr">
        <is>
          <t>Informe_EP3_MVP_HORECA_Marley_Coffee.pdf / .docx</t>
        </is>
      </c>
      <c r="D7" s="6" t="inlineStr">
        <is>
          <t>Reestructura según la pauta EP3 (apartados 1.1 a 1.7) y anexos auditables.</t>
        </is>
      </c>
    </row>
    <row r="8">
      <c r="A8" s="5" t="inlineStr">
        <is>
          <t>1.2</t>
        </is>
      </c>
      <c r="B8" s="10" t="inlineStr">
        <is>
          <t>10-10-2026</t>
        </is>
      </c>
      <c r="C8" s="10" t="inlineStr">
        <is>
          <t>Informe_EP3_MVP_HORECA_Marley_Coffee.pdf / .docx</t>
        </is>
      </c>
      <c r="D8" s="6" t="inlineStr">
        <is>
          <t>Lead magnets, integración y capa agéntica en la cadena de valor, pago y facturación B2B, blueprint de inbound y trazabilidad de fuentes.</t>
        </is>
      </c>
    </row>
    <row r="9">
      <c r="A9" s="5" t="inlineStr">
        <is>
          <t>v4</t>
        </is>
      </c>
      <c r="B9" s="10" t="inlineStr">
        <is>
          <t>10-10-2026</t>
        </is>
      </c>
      <c r="C9" s="10" t="inlineStr">
        <is>
          <t>prototipo.html · mockups.html · wireframes.html</t>
        </is>
      </c>
      <c r="D9" s="6" t="inlineStr">
        <is>
          <t>Sitio Empresas C02–C09 y CRM R01–R09; videos de casos en los tres.</t>
        </is>
      </c>
    </row>
    <row r="10">
      <c r="A10" s="5" t="inlineStr">
        <is>
          <t>v8</t>
        </is>
      </c>
      <c r="B10" s="10" t="inlineStr">
        <is>
          <t>10-10-2026</t>
        </is>
      </c>
      <c r="C10" s="10" t="inlineStr">
        <is>
          <t>diagramas.html</t>
        </is>
      </c>
      <c r="D10" s="6" t="inlineStr">
        <is>
          <t>Flujos paralelos cliente · agentes · equipo; puntajes con geografía; menú del CRM.</t>
        </is>
      </c>
    </row>
    <row r="11">
      <c r="A11" s="5" t="inlineStr">
        <is>
          <t>v4.1</t>
        </is>
      </c>
      <c r="B11" s="10" t="inlineStr">
        <is>
          <t>10-10-2026</t>
        </is>
      </c>
      <c r="C11" s="10" t="inlineStr">
        <is>
          <t>prototipo.html · mockups.html · wireframes.html · test_sitio.html · test_crm.html</t>
        </is>
      </c>
      <c r="D11" s="6" t="inlineStr">
        <is>
          <t>Lead magnets LM1–LM7 visibles antes de cada esfuerzo y conectados al CRM.</t>
        </is>
      </c>
    </row>
    <row r="12">
      <c r="A12" s="5" t="inlineStr">
        <is>
          <t>v9</t>
        </is>
      </c>
      <c r="B12" s="10" t="inlineStr">
        <is>
          <t>10-10-2026</t>
        </is>
      </c>
      <c r="C12" s="10" t="inlineStr">
        <is>
          <t>diagramas.html</t>
        </is>
      </c>
      <c r="D12" s="6" t="inlineStr">
        <is>
          <t>Design Thinking, mapa del sitio, tareas críticas, matriz de lead magnets y carril LM en los flujos 1 y 2.</t>
        </is>
      </c>
    </row>
    <row r="13">
      <c r="A13" s="5" t="inlineStr">
        <is>
          <t>1.1</t>
        </is>
      </c>
      <c r="B13" s="10" t="inlineStr">
        <is>
          <t>10-10-2026</t>
        </is>
      </c>
      <c r="C13" s="10" t="inlineStr">
        <is>
          <t>Anexo_E_Matrices_MVP_Marley_Coffee.xlsx</t>
        </is>
      </c>
      <c r="D13" s="6" t="inlineStr">
        <is>
          <t>Hoja 15 de lead magnets, H11 y protocolo de 3 o 4 participantes.</t>
        </is>
      </c>
    </row>
    <row r="14">
      <c r="A14" s="5" t="inlineStr">
        <is>
          <t>v10</t>
        </is>
      </c>
      <c r="B14" s="10" t="inlineStr">
        <is>
          <t>10-10-2026</t>
        </is>
      </c>
      <c r="C14" s="10" t="inlineStr">
        <is>
          <t>diagramas.html</t>
        </is>
      </c>
      <c r="D14" s="6" t="inlineStr">
        <is>
          <t>Capa agéntica e integración en la cadena de valor (flujo 5), sistemas y conexión, blueprint de inbound (flujo 6) y contenido segmentado.</t>
        </is>
      </c>
    </row>
    <row r="15">
      <c r="A15" s="5" t="inlineStr">
        <is>
          <t>1.2</t>
        </is>
      </c>
      <c r="B15" s="10" t="inlineStr">
        <is>
          <t>10-10-2026</t>
        </is>
      </c>
      <c r="C15" s="10" t="inlineStr">
        <is>
          <t>Anexo_E_Matrices_MVP_Marley_Coffee.xlsx</t>
        </is>
      </c>
      <c r="D15" s="6" t="inlineStr">
        <is>
          <t>Este archivo: hojas 16 (economía unitaria), 17 (integración) y 18 (blueprint de inbound); KPIs K25–K29.</t>
        </is>
      </c>
    </row>
    <row r="16">
      <c r="A16" s="5" t="inlineStr">
        <is>
          <t>1.0</t>
        </is>
      </c>
      <c r="B16" s="10" t="inlineStr">
        <is>
          <t>12-10-2026</t>
        </is>
      </c>
      <c r="C16" s="10" t="inlineStr">
        <is>
          <t>Blueprint_Inbound_Marley_Coffee.pdf (Anexo F)</t>
        </is>
      </c>
      <c r="D16" s="6" t="inlineStr">
        <is>
          <t>Export del blueprint de inbound: flywheel, hoja 18, workflows (hoja 05) y KPIs del inbound (hoja 04).</t>
        </is>
      </c>
    </row>
    <row r="17">
      <c r="A17" s="5" t="inlineStr">
        <is>
          <t>v5</t>
        </is>
      </c>
      <c r="B17" s="10" t="inlineStr">
        <is>
          <t>12-10-2026</t>
        </is>
      </c>
      <c r="C17" s="10" t="inlineStr">
        <is>
          <t>prototipo.html · mockups.html · wireframes.html · recursos/</t>
        </is>
      </c>
      <c r="D17" s="6" t="inlineStr">
        <is>
          <t>Marca oficial (fuentes y amarillo), video al scroll, 4 máquinas, servicios, cotización con rangos supuestos, portal por estados, llamada en vivo, CRM por rol, SEO/AEO y test integrado.</t>
        </is>
      </c>
    </row>
    <row r="18">
      <c r="A18" s="5" t="inlineStr">
        <is>
          <t>v11</t>
        </is>
      </c>
      <c r="B18" s="10" t="inlineStr">
        <is>
          <t>12-10-2026</t>
        </is>
      </c>
      <c r="C18" s="10" t="inlineStr">
        <is>
          <t>diagramas.html</t>
        </is>
      </c>
      <c r="D18" s="6" t="inlineStr">
        <is>
          <t>Blueprint sobre el flywheel, flujos de 3 carriles con versión vertical, CRM por rol y contrato por tarea.</t>
        </is>
      </c>
    </row>
    <row r="19">
      <c r="A19" s="5" t="inlineStr">
        <is>
          <t>1.3</t>
        </is>
      </c>
      <c r="B19" s="10" t="inlineStr">
        <is>
          <t>12-10-2026</t>
        </is>
      </c>
      <c r="C19" s="10" t="inlineStr">
        <is>
          <t>Anexo_E_Matrices_MVP_Marley_Coffee.xlsx</t>
        </is>
      </c>
      <c r="D19" s="6" t="inlineStr">
        <is>
          <t>Este archivo: hojas 19 (precios supuestos), 20 (roles del CRM) y 21 (SEO y AEO); flywheel en la hoja 18; H12–H21; v5 en la hoja 11.</t>
        </is>
      </c>
    </row>
    <row r="20">
      <c r="A20" s="5" t="inlineStr">
        <is>
          <t>2.0</t>
        </is>
      </c>
      <c r="B20" s="10" t="inlineStr">
        <is>
          <t>12-10-2026</t>
        </is>
      </c>
      <c r="C20" s="10" t="inlineStr">
        <is>
          <t>Informe_EP3_MVP_HORECA_Marley_Coffee.pdf</t>
        </is>
      </c>
      <c r="D20" s="6" t="inlineStr">
        <is>
          <t>Informe reescrito con la skill de informes (HTML → PDF): hilo narrativo y matrices en anexos.</t>
        </is>
      </c>
    </row>
    <row r="21">
      <c r="A21" s="5" t="inlineStr">
        <is>
          <t>2.1</t>
        </is>
      </c>
      <c r="B21" s="10" t="inlineStr">
        <is>
          <t>13-10-2026</t>
        </is>
      </c>
      <c r="C21" s="10" t="inlineStr">
        <is>
          <t>Informe_EP3_MVP_HORECA_Marley_Coffee.pdf</t>
        </is>
      </c>
      <c r="D21" s="6" t="inlineStr">
        <is>
          <t>Ingreso de trabajadores al CRM (Figura 6), vocabulario simple para explicar las modalidades, carrusel de máquinas y flywheel solo en el Anexo F.</t>
        </is>
      </c>
    </row>
    <row r="22">
      <c r="A22" s="5" t="inlineStr">
        <is>
          <t>1.1</t>
        </is>
      </c>
      <c r="B22" s="10" t="inlineStr">
        <is>
          <t>12-10-2026</t>
        </is>
      </c>
      <c r="C22" s="10" t="inlineStr">
        <is>
          <t>Blueprint_Inbound_Marley_Coffee.pdf (Anexo F)</t>
        </is>
      </c>
      <c r="D22" s="6" t="inlineStr">
        <is>
          <t>Blueprint sobre el flywheel con puntaje acumulado.</t>
        </is>
      </c>
    </row>
    <row r="23">
      <c r="A23" s="5" t="inlineStr">
        <is>
          <t>v6</t>
        </is>
      </c>
      <c r="B23" s="10" t="inlineStr">
        <is>
          <t>15-10-2026</t>
        </is>
      </c>
      <c r="C23" s="10" t="inlineStr">
        <is>
          <t>prototipo.html · mockups.html · wireframes.html · test_sitio.html · test_crm.html</t>
        </is>
      </c>
      <c r="D23" s="6" t="inlineStr">
        <is>
          <t>Después del test con 5 usuarios: máquinas primero, portada de 2 momentos, 3 pasos sugeridos, propuesta al instante, datos al final, ajustes al instante y «¡Listo!»; CRM con lo cotizado y la propuesta sugerida, campana, guía de 3 pasos, ingreso sin distinguir mayúsculas y panel de jefatura con filtros y detalle; C01 con «MENÚ» y Empresas a la vista en celular.</t>
        </is>
      </c>
    </row>
    <row r="24">
      <c r="A24" s="5" t="inlineStr">
        <is>
          <t>v13</t>
        </is>
      </c>
      <c r="B24" s="10" t="inlineStr">
        <is>
          <t>15-10-2026</t>
        </is>
      </c>
      <c r="C24" s="10" t="inlineStr">
        <is>
          <t>diagramas.html</t>
        </is>
      </c>
      <c r="D24" s="6" t="inlineStr">
        <is>
          <t>Flujo 1, puntaje acumulado, tareas, contrato por tarea y mapa del sitio con el recorrido v6.</t>
        </is>
      </c>
    </row>
    <row r="25">
      <c r="A25" s="5" t="inlineStr">
        <is>
          <t>1.4</t>
        </is>
      </c>
      <c r="B25" s="10" t="inlineStr">
        <is>
          <t>15-10-2026</t>
        </is>
      </c>
      <c r="C25" s="10" t="inlineStr">
        <is>
          <t>Anexo_E_Matrices_MVP_Marley_Coffee.xlsx</t>
        </is>
      </c>
      <c r="D25" s="6" t="inlineStr">
        <is>
          <t>Este archivo: formato de tabla en todas las hojas; resultados reales del test (08 a 11) y hoja 22 con los cambios después del test.</t>
        </is>
      </c>
    </row>
    <row r="26">
      <c r="A26" s="5" t="inlineStr">
        <is>
          <t>1.2</t>
        </is>
      </c>
      <c r="B26" s="10" t="inlineStr">
        <is>
          <t>15-10-2026</t>
        </is>
      </c>
      <c r="C26" s="10" t="inlineStr">
        <is>
          <t>Blueprint_Inbound_Marley_Coffee.pdf (Anexo F)</t>
        </is>
      </c>
      <c r="D26" s="6" t="inlineStr">
        <is>
          <t>Etapas y puntaje con el orden v6 (datos al final).</t>
        </is>
      </c>
    </row>
    <row r="27">
      <c r="A27" s="5" t="inlineStr">
        <is>
          <t>3.0</t>
        </is>
      </c>
      <c r="B27" s="10" t="inlineStr">
        <is>
          <t>15-10-2026</t>
        </is>
      </c>
      <c r="C27" s="10" t="inlineStr">
        <is>
          <t>Informe_EP3_MVP_HORECA_Marley_Coffee.pdf</t>
        </is>
      </c>
      <c r="D27" s="6" t="inlineStr">
        <is>
          <t>Informe final de 13 páginas: menos técnico, con los resultados del test y lo que se cambió; imágenes en los anexos.</t>
        </is>
      </c>
    </row>
    <row r="28">
      <c r="A28" s="5" t="inlineStr">
        <is>
          <t>v6.1</t>
        </is>
      </c>
      <c r="B28" s="10" t="inlineStr">
        <is>
          <t>15-10-2026</t>
        </is>
      </c>
      <c r="C28" s="10" t="inlineStr">
        <is>
          <t>prototipo.html · mockups.html · wireframes.html · test_sitio.html · test_crm.html</t>
        </is>
      </c>
      <c r="D28" s="6" t="inlineStr">
        <is>
          <t>Formulario de datos básicos de vuelta al principio (recuperar a quien abandona: N.º de seguimiento por correo, propuesta por correo y aviso de abandono W4) y botón «Ver en celular» en la barra de los 3 archivos.</t>
        </is>
      </c>
    </row>
    <row r="29">
      <c r="A29" s="5" t="inlineStr">
        <is>
          <t>v14</t>
        </is>
      </c>
      <c r="B29" s="10" t="inlineStr">
        <is>
          <t>15-10-2026</t>
        </is>
      </c>
      <c r="C29" s="10" t="inlineStr">
        <is>
          <t>diagramas.html</t>
        </is>
      </c>
      <c r="D29" s="6" t="inlineStr">
        <is>
          <t>Flujo 1, puntaje por etapa, tareas, contrato por tarea y mapa del sitio con los datos al principio.</t>
        </is>
      </c>
    </row>
    <row r="30">
      <c r="A30" s="5" t="inlineStr">
        <is>
          <t>1.5</t>
        </is>
      </c>
      <c r="B30" s="10" t="inlineStr">
        <is>
          <t>15-10-2026</t>
        </is>
      </c>
      <c r="C30" s="10" t="inlineStr">
        <is>
          <t>Anexo_E_Matrices_MVP_Marley_Coffee.xlsx</t>
        </is>
      </c>
      <c r="D30" s="6" t="inlineStr">
        <is>
          <t>Este archivo: workflows W1 a W4, plan de test, H23, comparación, supuestos y blueprint con los datos al principio (v6.1).</t>
        </is>
      </c>
    </row>
    <row r="31">
      <c r="A31" s="5" t="inlineStr">
        <is>
          <t>1.3</t>
        </is>
      </c>
      <c r="B31" s="10" t="inlineStr">
        <is>
          <t>15-10-2026</t>
        </is>
      </c>
      <c r="C31" s="10" t="inlineStr">
        <is>
          <t>Blueprint_Inbound_Marley_Coffee.pdf (Anexo F)</t>
        </is>
      </c>
      <c r="D31" s="6" t="inlineStr">
        <is>
          <t>Etapas y puntaje con los datos al principio (v6.1).</t>
        </is>
      </c>
    </row>
    <row r="32">
      <c r="A32" s="5" t="inlineStr">
        <is>
          <t>3.1</t>
        </is>
      </c>
      <c r="B32" s="10" t="inlineStr">
        <is>
          <t>15-10-2026</t>
        </is>
      </c>
      <c r="C32" s="10" t="inlineStr">
        <is>
          <t>Informe_EP3_MVP_HORECA_Marley_Coffee.pdf</t>
        </is>
      </c>
      <c r="D32" s="6" t="inlineStr">
        <is>
          <t>Informe final más corto: texto en Arial, matrices en el Excel, datos al principio (v6.1) y vista celular.</t>
        </is>
      </c>
    </row>
    <row r="33">
      <c r="A33" s="5" t="inlineStr">
        <is>
          <t>v8</t>
        </is>
      </c>
      <c r="B33" s="10" t="inlineStr">
        <is>
          <t>15-10-2026</t>
        </is>
      </c>
      <c r="C33" s="10" t="inlineStr">
        <is>
          <t>Kit de test (6_TEST_USABILIDAD)</t>
        </is>
      </c>
      <c r="D33" s="6" t="inlineStr">
        <is>
          <t>Informe del test con tiempos por etapa, mapa de calor con toques numerados y línea de tiempo completa en el anexo.</t>
        </is>
      </c>
    </row>
    <row r="34">
      <c r="A34" s="5" t="inlineStr">
        <is>
          <t>v12</t>
        </is>
      </c>
      <c r="B34" s="10" t="inlineStr">
        <is>
          <t>13-10-2026</t>
        </is>
      </c>
      <c r="C34" s="10" t="inlineStr">
        <is>
          <t>diagramas.html</t>
        </is>
      </c>
      <c r="D34" s="6" t="inlineStr">
        <is>
          <t>Cada diagrama cabe entero en la pantalla, con zoom, arrastre y pantalla completa (escritorio y celular); R00 como ingreso de trabajadores; el flywheel queda solo en el blueprint (Anexo F).</t>
        </is>
      </c>
    </row>
    <row r="35">
      <c r="A35" s="5" t="inlineStr">
        <is>
          <t>1.6</t>
        </is>
      </c>
      <c r="B35" s="10" t="inlineStr">
        <is>
          <t>15-10-2026</t>
        </is>
      </c>
      <c r="C35" s="10" t="inlineStr">
        <is>
          <t>Anexo_E_Matrices_MVP_Marley_Coffee.xlsx</t>
        </is>
      </c>
      <c r="D35" s="6" t="inlineStr">
        <is>
          <t>Este archivo (Anexo E): hipótesis H1 a H6 —las mismas del informe—, KPIs K30 a K32 (amplitud, margen por cuenta y reposiciones manuales), glosario ampliado, experimentos del botón Empresas, la landing SEM y el orden de los lead magnets, y la decisión sobre modalidades en la hoja 19.</t>
        </is>
      </c>
    </row>
    <row r="36">
      <c r="A36" s="7" t="inlineStr">
        <is>
          <t>3.2</t>
        </is>
      </c>
      <c r="B36" s="14" t="inlineStr">
        <is>
          <t>15-10-2026</t>
        </is>
      </c>
      <c r="C36" s="14" t="inlineStr">
        <is>
          <t>Informe_EP3_MVP_HORECA_Marley_Coffee.pdf / .docx</t>
        </is>
      </c>
      <c r="D36" s="8" t="inlineStr">
        <is>
          <t>Informe con la propuesta al centro: vocabulario del caso, hipótesis con su KPI, decisiones de modalidades con fuente y anexos G a I; mismas matrices que el Anexo E 1.6.</t>
        </is>
      </c>
    </row>
  </sheetData>
  <mergeCells count="1">
    <mergeCell ref="A2:D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tabColor rgb="00F7BE00"/>
    <outlinePr summaryBelow="1" summaryRight="1"/>
    <pageSetUpPr fitToPage="1"/>
  </sheetPr>
  <dimension ref="A1:K27"/>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14" customWidth="1" min="2" max="2"/>
    <col width="34" customWidth="1" min="3" max="3"/>
    <col width="11" customWidth="1" min="4" max="4"/>
    <col width="24" customWidth="1" min="5" max="5"/>
    <col width="44" customWidth="1" min="6" max="6"/>
    <col width="34" customWidth="1" min="7" max="7"/>
    <col width="24" customWidth="1" min="8" max="8"/>
    <col width="20" customWidth="1" min="9" max="9"/>
    <col width="38" customWidth="1" min="10" max="10"/>
    <col width="24" customWidth="1" min="11" max="11"/>
  </cols>
  <sheetData>
    <row r="1" ht="28" customHeight="1">
      <c r="A1" s="1" t="inlineStr">
        <is>
          <t>Lead magnets LM1–LM7 · antes de cada esfuerzo</t>
        </is>
      </c>
      <c r="B1" s="2" t="n"/>
      <c r="C1" s="2" t="n"/>
      <c r="D1" s="2" t="n"/>
      <c r="E1" s="2" t="n"/>
      <c r="F1" s="2" t="n"/>
      <c r="G1" s="2" t="n"/>
      <c r="H1" s="2" t="n"/>
      <c r="I1" s="2" t="n"/>
      <c r="J1" s="2" t="n"/>
      <c r="K1" s="2" t="n"/>
    </row>
    <row r="2" ht="16" customHeight="1">
      <c r="A2" s="3" t="inlineStr">
        <is>
          <t>Prompt del proyecto: lead magnets asociados al servicio, a su continuidad y a escalar la experiencia (accesorios, eventos, catering, activaciones, material POP, branding). Sin precios ni descuentos. Misma fuente que el prototipo.</t>
        </is>
      </c>
    </row>
    <row r="3"/>
    <row r="4" ht="30" customHeight="1">
      <c r="A4" s="4" t="inlineStr">
        <is>
          <t>LM</t>
        </is>
      </c>
      <c r="B4" s="4" t="inlineStr">
        <is>
          <t>Nombre</t>
        </is>
      </c>
      <c r="C4" s="4" t="inlineStr">
        <is>
          <t>Promesa (texto en pantalla)</t>
        </is>
      </c>
      <c r="D4" s="4" t="inlineStr">
        <is>
          <t>Pantalla</t>
        </is>
      </c>
      <c r="E4" s="4" t="inlineStr">
        <is>
          <t>Aparece</t>
        </is>
      </c>
      <c r="F4" s="4" t="inlineStr">
        <is>
          <t>Qué recibe el cliente</t>
        </is>
      </c>
      <c r="G4" s="4" t="inlineStr">
        <is>
          <t>Qué obtiene Marley Coffee</t>
        </is>
      </c>
      <c r="H4" s="4" t="inlineStr">
        <is>
          <t>Señal / puntaje</t>
        </is>
      </c>
      <c r="I4" s="4" t="inlineStr">
        <is>
          <t>Agente</t>
        </is>
      </c>
      <c r="J4" s="4" t="inlineStr">
        <is>
          <t>Indicador para medirlo</t>
        </is>
      </c>
      <c r="K4" s="4" t="inlineStr">
        <is>
          <t>Siguiente paso</t>
        </is>
      </c>
    </row>
    <row r="5">
      <c r="A5" s="5" t="inlineStr">
        <is>
          <t>LM1</t>
        </is>
      </c>
      <c r="B5" s="10" t="inlineStr">
        <is>
          <t>Orientación</t>
        </is>
      </c>
      <c r="C5" s="10" t="inlineStr">
        <is>
          <t>Descubre qué solución Marley Coffee se adapta a tu negocio</t>
        </is>
      </c>
      <c r="D5" s="10" t="inlineStr">
        <is>
          <t>C02</t>
        </is>
      </c>
      <c r="E5" s="10" t="inlineStr">
        <is>
          <t>Después de ver las máquinas, antes de pulsar «Ver mi solución»</t>
        </is>
      </c>
      <c r="F5" s="10" t="inlineStr">
        <is>
          <t>La máquina que te conviene, el café al mes y la ejecutiva de tu zona, en 1 minuto.</t>
        </is>
      </c>
      <c r="G5" s="10" t="inlineStr">
        <is>
          <t>Intención declarada y origen del contacto.</t>
        </is>
      </c>
      <c r="H5" s="10" t="inlineStr">
        <is>
          <t>Pulsa «Ver mi solución» (+10)</t>
        </is>
      </c>
      <c r="I5" s="10" t="inlineStr">
        <is>
          <t>Marketing</t>
        </is>
      </c>
      <c r="J5" s="10" t="inlineStr">
        <is>
          <t>Clics en «Ver mi solución» / visitas a Empresas</t>
        </is>
      </c>
      <c r="K5" s="6" t="inlineStr">
        <is>
          <t>C04</t>
        </is>
      </c>
    </row>
    <row r="6">
      <c r="A6" s="5" t="inlineStr">
        <is>
          <t>LM2</t>
        </is>
      </c>
      <c r="B6" s="10" t="inlineStr">
        <is>
          <t>Avance</t>
        </is>
      </c>
      <c r="C6" s="10" t="inlineStr">
        <is>
          <t>Recibe tu propuesta y tu número de seguimiento</t>
        </is>
      </c>
      <c r="D6" s="10" t="inlineStr">
        <is>
          <t>C03</t>
        </is>
      </c>
      <c r="E6" s="10" t="inlineStr">
        <is>
          <t>Antes de dejar los datos, al empezar (antes del diagnóstico)</t>
        </is>
      </c>
      <c r="F6" s="10" t="inlineStr">
        <is>
          <t>Tu propuesta y un número de seguimiento en tu correo para retomar cuando quieras, sin repetir respuestas.</t>
        </is>
      </c>
      <c r="G6" s="10" t="inlineStr">
        <is>
          <t>Correo con permiso: contacto identificado.</t>
        </is>
      </c>
      <c r="H6" s="10" t="inlineStr">
        <is>
          <t>Formulario 1 (+20)</t>
        </is>
      </c>
      <c r="I6" s="10" t="inlineStr">
        <is>
          <t>Calificación</t>
        </is>
      </c>
      <c r="J6" s="10" t="inlineStr">
        <is>
          <t>Correos con permiso / visitas a C03</t>
        </is>
      </c>
      <c r="K6" s="6" t="inlineStr">
        <is>
          <t>C06</t>
        </is>
      </c>
    </row>
    <row r="7">
      <c r="A7" s="5" t="inlineStr">
        <is>
          <t>LM3</t>
        </is>
      </c>
      <c r="B7" s="10" t="inlineStr">
        <is>
          <t>Configuración</t>
        </is>
      </c>
      <c r="C7" s="10" t="inlineStr">
        <is>
          <t>Configura el café de tu negocio</t>
        </is>
      </c>
      <c r="D7" s="10" t="inlineStr">
        <is>
          <t>C04 · C05</t>
        </is>
      </c>
      <c r="E7" s="10" t="inlineStr">
        <is>
          <t>Antes del diagnóstico de 3 pasos</t>
        </is>
      </c>
      <c r="F7" s="10" t="inlineStr">
        <is>
          <t>Tu propuesta al instante: máquina, modalidad, café al mes, precio mensual estimado y la ruta de despacho de tu comuna.</t>
        </is>
      </c>
      <c r="G7" s="10" t="inlineStr">
        <is>
          <t>Datos para calificar: negocio, volumen, servicio, preferencias y comuna (zona).</t>
        </is>
      </c>
      <c r="H7" s="10" t="inlineStr">
        <is>
          <t>Diagnóstico y comuna (+24 a +32)</t>
        </is>
      </c>
      <c r="I7" s="10" t="inlineStr">
        <is>
          <t>Calificación y Orquestador</t>
        </is>
      </c>
      <c r="J7" s="10" t="inlineStr">
        <is>
          <t>Diagnósticos completos / diagnósticos iniciados</t>
        </is>
      </c>
      <c r="K7" s="6" t="inlineStr">
        <is>
          <t>C05</t>
        </is>
      </c>
    </row>
    <row r="8">
      <c r="A8" s="5" t="inlineStr">
        <is>
          <t>LM4</t>
        </is>
      </c>
      <c r="B8" s="10" t="inlineStr">
        <is>
          <t>Ampliación</t>
        </is>
      </c>
      <c r="C8" s="10" t="inlineStr">
        <is>
          <t>Descubre cómo ampliar la experiencia Marley Coffee</t>
        </is>
      </c>
      <c r="D8" s="10" t="inlineStr">
        <is>
          <t>C05 · C07</t>
        </is>
      </c>
      <c r="E8" s="10" t="inlineStr">
        <is>
          <t>Junto a la propuesta, como recomendación apagada</t>
        </is>
      </c>
      <c r="F8" s="10" t="inlineStr">
        <is>
          <t>Extras recomendados para tu negocio: tazas de la marca, material para tu local, capacitación, eventos o catering. Solo entra lo que marcas.</t>
        </is>
      </c>
      <c r="G8" s="10" t="inlineStr">
        <is>
          <t>Venta cruzada: sube el ticket promedio.</t>
        </is>
      </c>
      <c r="H8" s="10" t="inlineStr">
        <is>
          <t>Recomendación (+8) y propuesta ampliada (+12)</t>
        </is>
      </c>
      <c r="I8" s="10" t="inlineStr">
        <is>
          <t>Ventas</t>
        </is>
      </c>
      <c r="J8" s="10" t="inlineStr">
        <is>
          <t>Prospectos que marcan interés o eligen la ampliada / propuestas enviadas</t>
        </is>
      </c>
      <c r="K8" s="6" t="inlineStr">
        <is>
          <t>SQL (lo acepta una persona)</t>
        </is>
      </c>
    </row>
    <row r="9">
      <c r="A9" s="5" t="inlineStr">
        <is>
          <t>LM5</t>
        </is>
      </c>
      <c r="B9" s="10" t="inlineStr">
        <is>
          <t>Reposición</t>
        </is>
      </c>
      <c r="C9" s="10" t="inlineStr">
        <is>
          <t>Repón en menos pasos y mantén continuidad</t>
        </is>
      </c>
      <c r="D9" s="10" t="inlineStr">
        <is>
          <t>C09</t>
        </is>
      </c>
      <c r="E9" s="10" t="inlineStr">
        <is>
          <t>Antes de repetir el pedido</t>
        </is>
      </c>
      <c r="F9" s="10" t="inlineStr">
        <is>
          <t>Repetir el último pedido con un toque y un aviso antes de quedarte sin café, según tu consumo.</t>
        </is>
      </c>
      <c r="G9" s="10" t="inlineStr">
        <is>
          <t>Frecuencia de compra estable; menos clientes inactivos.</t>
        </is>
      </c>
      <c r="H9" s="10" t="inlineStr">
        <is>
          <t>Financial: frecuencia (25 %)</t>
        </is>
      </c>
      <c r="I9" s="10" t="inlineStr">
        <is>
          <t>Postventa y Logística</t>
        </is>
      </c>
      <c r="J9" s="10" t="inlineStr">
        <is>
          <t>Reposiciones digitales / reposiciones totales; avisos activados</t>
        </is>
      </c>
      <c r="K9" s="6" t="inlineStr">
        <is>
          <t>Pedido de reposición</t>
        </is>
      </c>
    </row>
    <row r="10">
      <c r="A10" s="5" t="inlineStr">
        <is>
          <t>LM6</t>
        </is>
      </c>
      <c r="B10" s="10" t="inlineStr">
        <is>
          <t>Expansión</t>
        </is>
      </c>
      <c r="C10" s="10" t="inlineStr">
        <is>
          <t>Escala tu experiencia Marley Coffee</t>
        </is>
      </c>
      <c r="D10" s="10" t="inlineStr">
        <is>
          <t>C09</t>
        </is>
      </c>
      <c r="E10" s="10" t="inlineStr">
        <is>
          <t>Antes de pedir un servicio nuevo</t>
        </is>
      </c>
      <c r="F10" s="10" t="inlineStr">
        <is>
          <t>Eventos y catering con Marley Coffee, puntos de activación, material POP y branding, tazas y accesorios.</t>
        </is>
      </c>
      <c r="G10" s="10" t="inlineStr">
        <is>
          <t>Más categorías por cliente y ticket más alto.</t>
        </is>
      </c>
      <c r="H10" s="10" t="inlineStr">
        <is>
          <t>Financial: amplitud (10 %) y ticket (30 %)</t>
        </is>
      </c>
      <c r="I10" s="10" t="inlineStr">
        <is>
          <t>Postventa y Ventas</t>
        </is>
      </c>
      <c r="J10" s="10" t="inlineStr">
        <is>
          <t>Solicitudes de servicio / clientes activos</t>
        </is>
      </c>
      <c r="K10" s="6" t="inlineStr">
        <is>
          <t>Propuesta de servicio del ejecutivo de cuenta</t>
        </is>
      </c>
    </row>
    <row r="11">
      <c r="A11" s="7" t="inlineStr">
        <is>
          <t>LM7</t>
        </is>
      </c>
      <c r="B11" s="14" t="inlineStr">
        <is>
          <t>Referido</t>
        </is>
      </c>
      <c r="C11" s="14" t="inlineStr">
        <is>
          <t>Recomienda Marley Coffee con un beneficio experiencial</t>
        </is>
      </c>
      <c r="D11" s="14" t="inlineStr">
        <is>
          <t>C09</t>
        </is>
      </c>
      <c r="E11" s="14" t="inlineStr">
        <is>
          <t>Antes de compartir su código</t>
        </is>
      </c>
      <c r="F11" s="14" t="inlineStr">
        <is>
          <t>Si otro negocio se suma con tu código, ambos reciben una experiencia de marca (cata para el equipo o material de marca), sujeta a aprobación.</t>
        </is>
      </c>
      <c r="G11" s="14" t="inlineStr">
        <is>
          <t>Nuevos contactos con origen «Referido».</t>
        </is>
      </c>
      <c r="H11" s="14" t="inlineStr">
        <is>
          <t>Origen: Referido</t>
        </is>
      </c>
      <c r="I11" s="14" t="inlineStr">
        <is>
          <t>Postventa y Marketing</t>
        </is>
      </c>
      <c r="J11" s="14" t="inlineStr">
        <is>
          <t>Contactos con origen «Referido» / clientes activos</t>
        </is>
      </c>
      <c r="K11" s="8" t="inlineStr">
        <is>
          <t>Nuevo contacto en el CRM</t>
        </is>
      </c>
    </row>
    <row r="12"/>
    <row r="13">
      <c r="A13" s="50" t="inlineStr">
        <is>
          <t>Adaptación por tipo de negocio (LM3 cambia su texto; LM4 y LM6 ofrecen primero estos servicios)</t>
        </is>
      </c>
    </row>
    <row r="14" ht="30" customHeight="1">
      <c r="A14" s="4" t="inlineStr">
        <is>
          <t>Negocio</t>
        </is>
      </c>
      <c r="B14" s="4" t="inlineStr"/>
      <c r="C14" s="4" t="inlineStr">
        <is>
          <t>LM3 · lo que verá al terminar</t>
        </is>
      </c>
      <c r="D14" s="4" t="inlineStr"/>
      <c r="E14" s="4" t="inlineStr"/>
      <c r="F14" s="4" t="inlineStr">
        <is>
          <t>LM4 / LM6 · servicios que se ofrecen primero</t>
        </is>
      </c>
    </row>
    <row r="15">
      <c r="A15" s="5" t="inlineStr">
        <is>
          <t>Hotel</t>
        </is>
      </c>
      <c r="B15" s="10" t="inlineStr"/>
      <c r="C15" s="10" t="inlineStr">
        <is>
          <t>Bar para el desayuno, Pods en las habitaciones y tazas de la marca para el lobby</t>
        </is>
      </c>
      <c r="D15" s="10" t="inlineStr"/>
      <c r="E15" s="10" t="inlineStr"/>
      <c r="F15" s="6" t="inlineStr">
        <is>
          <t>Tazas y accesorios de la marca, Material de marca para tu local, Coffee Experience para eventos</t>
        </is>
      </c>
    </row>
    <row r="16">
      <c r="A16" s="52" t="inlineStr">
        <is>
          <t>Restaurante</t>
        </is>
      </c>
      <c r="B16" s="53" t="inlineStr"/>
      <c r="C16" s="53" t="inlineStr">
        <is>
          <t>espresso de sobremesa con grano o molido y la taza de la marca en cada mesa</t>
        </is>
      </c>
      <c r="D16" s="53" t="inlineStr"/>
      <c r="E16" s="53" t="inlineStr"/>
      <c r="F16" s="54" t="inlineStr">
        <is>
          <t>Tazas y accesorios de la marca, Material de marca para tu local, Catering con la marca</t>
        </is>
      </c>
    </row>
    <row r="17">
      <c r="A17" s="5" t="inlineStr">
        <is>
          <t>Cafetería</t>
        </is>
      </c>
      <c r="B17" s="10" t="inlineStr"/>
      <c r="C17" s="10" t="inlineStr">
        <is>
          <t>café en grano para la barra y variedad de preparaciones</t>
        </is>
      </c>
      <c r="D17" s="10" t="inlineStr"/>
      <c r="E17" s="10" t="inlineStr"/>
      <c r="F17" s="6" t="inlineStr">
        <is>
          <t>Capacitación de barista, Material de marca para tu local, Punto de activación</t>
        </is>
      </c>
    </row>
    <row r="18">
      <c r="A18" s="55" t="inlineStr">
        <is>
          <t>Eventos o catering</t>
        </is>
      </c>
      <c r="B18" s="56" t="inlineStr"/>
      <c r="C18" s="56" t="inlineStr">
        <is>
          <t>Coffee Experience con barra y barista, o Café al paso para volumen alto</t>
        </is>
      </c>
      <c r="D18" s="56" t="inlineStr"/>
      <c r="E18" s="56" t="inlineStr"/>
      <c r="F18" s="57" t="inlineStr">
        <is>
          <t>Punto de activación, Material de marca para tu local, Catering con la marca</t>
        </is>
      </c>
    </row>
    <row r="19"/>
    <row r="20">
      <c r="A20" s="50" t="inlineStr">
        <is>
          <t>Servicios para ampliar y escalar (sin precios; condiciones las define la ejecutiva)</t>
        </is>
      </c>
    </row>
    <row r="21">
      <c r="A21" s="10" t="inlineStr">
        <is>
          <t>accesorios</t>
        </is>
      </c>
      <c r="B21" s="10" t="inlineStr">
        <is>
          <t>Tazas y accesorios de la marca</t>
        </is>
      </c>
      <c r="C21" s="10" t="inlineStr">
        <is>
          <t>Taza mug negra y travel mug Marley Coffee para tu servicio.</t>
        </is>
      </c>
    </row>
    <row r="22">
      <c r="A22" s="10" t="inlineStr">
        <is>
          <t>pop</t>
        </is>
      </c>
      <c r="B22" s="10" t="inlineStr">
        <is>
          <t>Material de marca para tu local</t>
        </is>
      </c>
      <c r="C22" s="10" t="inlineStr">
        <is>
          <t>Frente de barra, piso modular, exhibidor de bolsas y carta con la marca.</t>
        </is>
      </c>
    </row>
    <row r="23">
      <c r="A23" s="10" t="inlineStr">
        <is>
          <t>evento</t>
        </is>
      </c>
      <c r="B23" s="10" t="inlineStr">
        <is>
          <t>Coffee Experience para eventos</t>
        </is>
      </c>
      <c r="C23" s="10" t="inlineStr">
        <is>
          <t>Barra Marley Coffee con barista, tazas y material de marca para tu evento.</t>
        </is>
      </c>
    </row>
    <row r="24">
      <c r="A24" s="10" t="inlineStr">
        <is>
          <t>catering</t>
        </is>
      </c>
      <c r="B24" s="10" t="inlineStr">
        <is>
          <t>Catering con la marca</t>
        </is>
      </c>
      <c r="C24" s="10" t="inlineStr">
        <is>
          <t>Coffee break con mantel, tazas y café Marley Coffee para reuniones y lanzamientos.</t>
        </is>
      </c>
    </row>
    <row r="25">
      <c r="A25" s="10" t="inlineStr">
        <is>
          <t>activacion</t>
        </is>
      </c>
      <c r="B25" s="10" t="inlineStr">
        <is>
          <t>Punto de activación</t>
        </is>
      </c>
      <c r="C25" s="10" t="inlineStr">
        <is>
          <t>Un módulo Marley Coffee con barista en tu local, hotel o centro comercial por una temporada.</t>
        </is>
      </c>
    </row>
    <row r="26">
      <c r="A26" s="10" t="inlineStr">
        <is>
          <t>capacitacion</t>
        </is>
      </c>
      <c r="B26" s="10" t="inlineStr">
        <is>
          <t>Capacitación de barista</t>
        </is>
      </c>
      <c r="C26" s="10" t="inlineStr">
        <is>
          <t>Tu equipo aprende a preparar y cuidar la máquina con un barista de Marley Coffee.</t>
        </is>
      </c>
    </row>
    <row r="27">
      <c r="A27" s="10" t="inlineStr">
        <is>
          <t>ocs</t>
        </is>
      </c>
      <c r="B27" s="10" t="inlineStr">
        <is>
          <t>Office Coffee Service</t>
        </is>
      </c>
      <c r="C27" s="10" t="inlineStr">
        <is>
          <t>Reposición programada, mantención de la máquina y soporte para tu operación.</t>
        </is>
      </c>
    </row>
  </sheetData>
  <mergeCells count="1">
    <mergeCell ref="A2:K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tabColor rgb="00F7BE00"/>
    <outlinePr summaryBelow="1" summaryRight="1"/>
    <pageSetUpPr fitToPage="1"/>
  </sheetPr>
  <dimension ref="A1:D24"/>
  <sheetViews>
    <sheetView showGridLines="0" zoomScale="90" workbookViewId="0">
      <pane ySplit="4" topLeftCell="A5" activePane="bottomLeft" state="frozen"/>
      <selection pane="bottomLeft" activeCell="A1" sqref="A1"/>
    </sheetView>
  </sheetViews>
  <sheetFormatPr baseColWidth="8" defaultRowHeight="15"/>
  <cols>
    <col width="48" customWidth="1" min="1" max="1"/>
    <col width="16" customWidth="1" min="2" max="2"/>
    <col width="16" customWidth="1" min="3" max="3"/>
    <col width="70" customWidth="1" min="4" max="4"/>
  </cols>
  <sheetData>
    <row r="1" ht="28" customHeight="1">
      <c r="A1" s="1" t="inlineStr">
        <is>
          <t>Economía unitaria con las metas del caso</t>
        </is>
      </c>
      <c r="B1" s="2" t="n"/>
      <c r="C1" s="2" t="n"/>
      <c r="D1" s="2" t="n"/>
    </row>
    <row r="2" ht="26" customHeight="1">
      <c r="A2" s="3" t="inlineStr">
        <is>
          <t>Celdas amarillas = supuestos académicos del caso [3] o datos por levantar. Celdas grises = fórmulas. Sin costos ni márgenes reales: no se inventan; las fórmulas quedan listas para el piloto.</t>
        </is>
      </c>
    </row>
    <row r="3"/>
    <row r="4" ht="30" customHeight="1">
      <c r="A4" s="4" t="inlineStr">
        <is>
          <t>Concepto</t>
        </is>
      </c>
      <c r="B4" s="4" t="inlineStr">
        <is>
          <t>Hoy</t>
        </is>
      </c>
      <c r="C4" s="4" t="inlineStr">
        <is>
          <t>Meta / escenario</t>
        </is>
      </c>
      <c r="D4" s="4" t="inlineStr">
        <is>
          <t>Fórmula o fuente</t>
        </is>
      </c>
    </row>
    <row r="5">
      <c r="A5" s="5" t="inlineStr">
        <is>
          <t>Retención anual HORECA</t>
        </is>
      </c>
      <c r="B5" s="58" t="n">
        <v>0.86</v>
      </c>
      <c r="C5" s="58" t="n">
        <v>0.9</v>
      </c>
      <c r="D5" s="6" t="inlineStr">
        <is>
          <t>Supuesto y meta académica del caso [3]</t>
        </is>
      </c>
    </row>
    <row r="6">
      <c r="A6" s="5" t="inlineStr">
        <is>
          <t>Churn (tasa de cancelación)</t>
        </is>
      </c>
      <c r="B6" s="59">
        <f>1-B5</f>
        <v/>
      </c>
      <c r="C6" s="59">
        <f>1-C5</f>
        <v/>
      </c>
      <c r="D6" s="6" t="inlineStr">
        <is>
          <t>1 − retención</t>
        </is>
      </c>
    </row>
    <row r="7">
      <c r="A7" s="5" t="inlineStr">
        <is>
          <t>Vida esperada del cliente (años)</t>
        </is>
      </c>
      <c r="B7" s="36">
        <f>1/B6</f>
        <v/>
      </c>
      <c r="C7" s="36">
        <f>1/C6</f>
        <v/>
      </c>
      <c r="D7" s="6" t="inlineStr">
        <is>
          <t>1 ÷ churn</t>
        </is>
      </c>
    </row>
    <row r="8">
      <c r="A8" s="5" t="inlineStr">
        <is>
          <t>Cambio del LTV a igual contribución anual</t>
        </is>
      </c>
      <c r="B8" s="59" t="inlineStr"/>
      <c r="C8" s="59">
        <f>C7/B7-1</f>
        <v/>
      </c>
      <c r="D8" s="6" t="inlineStr">
        <is>
          <t>LTV ≈ contribución anual × vida esperada</t>
        </is>
      </c>
    </row>
    <row r="9">
      <c r="A9" s="5" t="inlineStr">
        <is>
          <t>Salida trimestral equivalente (regla 95-5)</t>
        </is>
      </c>
      <c r="B9" s="59">
        <f>1-B5^(1/4)</f>
        <v/>
      </c>
      <c r="C9" s="59">
        <f>1-C5^(1/4)</f>
        <v/>
      </c>
      <c r="D9" s="6" t="inlineStr">
        <is>
          <t>1 − retención^(1/4): clientes que reconsideran proveedor cada trimestre</t>
        </is>
      </c>
    </row>
    <row r="10">
      <c r="A10" s="5" t="inlineStr">
        <is>
          <t>Conversión lead → cliente</t>
        </is>
      </c>
      <c r="B10" s="58" t="n">
        <v>0.12</v>
      </c>
      <c r="C10" s="58" t="n">
        <v>0.18</v>
      </c>
      <c r="D10" s="6" t="inlineStr">
        <is>
          <t>Supuesto y meta académica del caso [3]</t>
        </is>
      </c>
    </row>
    <row r="11">
      <c r="A11" s="5" t="inlineStr">
        <is>
          <t>Clientes por cada 100 leads</t>
        </is>
      </c>
      <c r="B11" s="36">
        <f>100*B10</f>
        <v/>
      </c>
      <c r="C11" s="36">
        <f>100*C10</f>
        <v/>
      </c>
      <c r="D11" s="6" t="inlineStr">
        <is>
          <t>100 × conversión</t>
        </is>
      </c>
    </row>
    <row r="12">
      <c r="A12" s="5" t="inlineStr">
        <is>
          <t>Cambio del CAC a igual costo por lead</t>
        </is>
      </c>
      <c r="B12" s="59" t="inlineStr"/>
      <c r="C12" s="59">
        <f>B10/C10-1</f>
        <v/>
      </c>
      <c r="D12" s="6" t="inlineStr">
        <is>
          <t>CAC = costo por lead ÷ conversión</t>
        </is>
      </c>
    </row>
    <row r="13">
      <c r="A13" s="5" t="inlineStr">
        <is>
          <t>Aumento de leads calificados</t>
        </is>
      </c>
      <c r="B13" s="58" t="n">
        <v>0</v>
      </c>
      <c r="C13" s="58" t="n">
        <v>0.25</v>
      </c>
      <c r="D13" s="6" t="inlineStr">
        <is>
          <t>Meta académica del caso [3]</t>
        </is>
      </c>
    </row>
    <row r="14">
      <c r="A14" s="5" t="inlineStr">
        <is>
          <t>Clientes nuevos (base 100 leads hoy)</t>
        </is>
      </c>
      <c r="B14" s="36">
        <f>100*(1+B13)*B10</f>
        <v/>
      </c>
      <c r="C14" s="36">
        <f>100*(1+C13)*C10</f>
        <v/>
      </c>
      <c r="D14" s="6" t="inlineStr">
        <is>
          <t>leads × conversión</t>
        </is>
      </c>
    </row>
    <row r="15">
      <c r="A15" s="5" t="inlineStr">
        <is>
          <t>NRR sin expansión (si el cliente perdido pesa como el promedio)</t>
        </is>
      </c>
      <c r="B15" s="59">
        <f>B5</f>
        <v/>
      </c>
      <c r="C15" s="59">
        <f>C5</f>
        <v/>
      </c>
      <c r="D15" s="6" t="inlineStr">
        <is>
          <t>≈ retención</t>
        </is>
      </c>
    </row>
    <row r="16">
      <c r="A16" s="5" t="inlineStr">
        <is>
          <t>Expansión necesaria para NRR = 100 %</t>
        </is>
      </c>
      <c r="B16" s="59">
        <f>1-B15</f>
        <v/>
      </c>
      <c r="C16" s="59">
        <f>1-C15</f>
        <v/>
      </c>
      <c r="D16" s="6" t="inlineStr">
        <is>
          <t>La deben aportar LM4 (ampliada), LM5 (frecuencia) y LM6 (servicios)</t>
        </is>
      </c>
    </row>
    <row r="17">
      <c r="A17" s="5" t="inlineStr">
        <is>
          <t>Reposición digital (% de reposiciones)</t>
        </is>
      </c>
      <c r="B17" s="58" t="n">
        <v>0.18</v>
      </c>
      <c r="C17" s="58" t="n">
        <v>0.4</v>
      </c>
      <c r="D17" s="6" t="inlineStr">
        <is>
          <t>Supuesto y meta académica del caso [3]</t>
        </is>
      </c>
    </row>
    <row r="18">
      <c r="A18" s="5" t="inlineStr">
        <is>
          <t>Contribución anual por cliente HORECA (CLP)</t>
        </is>
      </c>
      <c r="B18" s="60" t="n"/>
      <c r="C18" s="60" t="n"/>
      <c r="D18" s="6" t="inlineStr">
        <is>
          <t>Por levantar con finanzas (venta − costos variables, incluido despacho por zona)</t>
        </is>
      </c>
    </row>
    <row r="19">
      <c r="A19" s="5" t="inlineStr">
        <is>
          <t>LTV (CLP)</t>
        </is>
      </c>
      <c r="B19" s="61">
        <f>IF(ISNUMBER(B18),B18*B7,"por levantar")</f>
        <v/>
      </c>
      <c r="C19" s="61">
        <f>IF(ISNUMBER(C18),C18*C7,"por levantar")</f>
        <v/>
      </c>
      <c r="D19" s="6" t="inlineStr">
        <is>
          <t>Contribución anual × vida esperada</t>
        </is>
      </c>
    </row>
    <row r="20">
      <c r="A20" s="5" t="inlineStr">
        <is>
          <t>CAC (CLP)</t>
        </is>
      </c>
      <c r="B20" s="60" t="n"/>
      <c r="C20" s="60" t="n"/>
      <c r="D20" s="6" t="inlineStr">
        <is>
          <t>Por levantar: gasto de adquisición ÷ clientes nuevos atribuidos</t>
        </is>
      </c>
    </row>
    <row r="21">
      <c r="A21" s="5" t="inlineStr">
        <is>
          <t>LTV / CAC (veces)</t>
        </is>
      </c>
      <c r="B21" s="36">
        <f>IF(AND(ISNUMBER(B19),ISNUMBER(B20)),B19/B20,"por levantar")</f>
        <v/>
      </c>
      <c r="C21" s="36">
        <f>IF(AND(ISNUMBER(C19),ISNUMBER(C20)),C19/C20,"por levantar")</f>
        <v/>
      </c>
      <c r="D21" s="6" t="inlineStr">
        <is>
          <t>LTV ÷ CAC</t>
        </is>
      </c>
    </row>
    <row r="22">
      <c r="A22" s="7" t="inlineStr">
        <is>
          <t>Recupero de CAC (meses)</t>
        </is>
      </c>
      <c r="B22" s="40">
        <f>IF(AND(ISNUMBER(B18),ISNUMBER(B20)),B20/(B18/12),"por levantar")</f>
        <v/>
      </c>
      <c r="C22" s="40">
        <f>IF(AND(ISNUMBER(C18),ISNUMBER(C20)),C20/(C18/12),"por levantar")</f>
        <v/>
      </c>
      <c r="D22" s="8" t="inlineStr">
        <is>
          <t>CAC ÷ contribución mensual; considerar costos reales de equipo y servicio según la modalidad</t>
        </is>
      </c>
    </row>
    <row r="23"/>
    <row r="24">
      <c r="A24" s="20" t="inlineStr">
        <is>
          <t>Lectura: retener 86 % → 90 % alarga la vida del cliente de 7,1 a 10 años (+40 % de LTV a igual margen); convertir 12 % → 18 % baja el CAC 33 % a igual costo por lead. Los valores en pesos se completan en el piloto (celdas amarillas vacías).</t>
        </is>
      </c>
    </row>
  </sheetData>
  <mergeCells count="1">
    <mergeCell ref="A2:D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tabColor rgb="003F3F40"/>
    <outlinePr summaryBelow="1" summaryRight="1"/>
    <pageSetUpPr fitToPage="1"/>
  </sheetPr>
  <dimension ref="A1:G63"/>
  <sheetViews>
    <sheetView showGridLines="0" zoomScale="90" workbookViewId="0">
      <pane ySplit="4" topLeftCell="A5" activePane="bottomLeft" state="frozen"/>
      <selection pane="bottomLeft" activeCell="A1" sqref="A1"/>
    </sheetView>
  </sheetViews>
  <sheetFormatPr baseColWidth="8" defaultRowHeight="15"/>
  <cols>
    <col width="30" customWidth="1" min="1" max="1"/>
    <col width="40" customWidth="1" min="2" max="2"/>
    <col width="40" customWidth="1" min="3" max="3"/>
    <col width="38" customWidth="1" min="4" max="4"/>
    <col width="30" customWidth="1" min="5" max="5"/>
    <col width="34" customWidth="1" min="6" max="6"/>
    <col width="16" customWidth="1" min="7" max="7"/>
  </cols>
  <sheetData>
    <row r="1" ht="28" customHeight="1">
      <c r="A1" s="1" t="inlineStr">
        <is>
          <t>Integración: sistemas de Marley Coffee, contrato de llamadas y capa agéntica</t>
        </is>
      </c>
      <c r="B1" s="2" t="n"/>
      <c r="C1" s="2" t="n"/>
      <c r="D1" s="2" t="n"/>
      <c r="E1" s="2" t="n"/>
      <c r="F1" s="2" t="n"/>
      <c r="G1" s="2" t="n"/>
    </row>
    <row r="2" ht="16" customHeight="1">
      <c r="A2" s="3" t="inlineStr">
        <is>
          <t>Stack observado en la auditoría técnica del equipo (ago. 2026: VTEX IO, Mercado Pago/Webpay, Connectif, VTEX Message Center, GTM, GA4, Blue Express) y sistemas del caso [3]. En el MVP las llamadas se simulan y se ven en el CRM (R07).</t>
        </is>
      </c>
    </row>
    <row r="3"/>
    <row r="4" ht="30" customHeight="1">
      <c r="A4" s="4" t="inlineStr">
        <is>
          <t>Sistema</t>
        </is>
      </c>
      <c r="B4" s="4" t="inlineStr">
        <is>
          <t>Qué guarda o hace</t>
        </is>
      </c>
      <c r="C4" s="4" t="inlineStr">
        <is>
          <t>Evidencia</t>
        </is>
      </c>
      <c r="D4" s="4" t="inlineStr">
        <is>
          <t>Conexión</t>
        </is>
      </c>
      <c r="E4" s="4" t="inlineStr">
        <is>
          <t>Estado para el piloto</t>
        </is>
      </c>
      <c r="F4" s="4" t="inlineStr">
        <is>
          <t>Alternativa si no hay API</t>
        </is>
      </c>
    </row>
    <row r="5" ht="49" customHeight="1">
      <c r="A5" s="5" t="inlineStr">
        <is>
          <t>CRM Marley Coffee Empresas (propuesto)</t>
        </is>
      </c>
      <c r="B5" s="10" t="inlineStr">
        <is>
          <t>Contactos, conversaciones, puntajes, propuestas y agentes</t>
        </is>
      </c>
      <c r="C5" s="10" t="inlineStr">
        <is>
          <t>Prototipo del MVP (Anexo A)</t>
        </is>
      </c>
      <c r="D5" s="10" t="inlineStr">
        <is>
          <t>Capa de integración propia: REST + webhooks</t>
        </is>
      </c>
      <c r="E5" s="10" t="inlineStr">
        <is>
          <t>Demostración local; servidor, identidad e integración real pendientes</t>
        </is>
      </c>
      <c r="F5" s="6" t="inlineStr">
        <is>
          <t>—</t>
        </is>
      </c>
    </row>
    <row r="6" ht="62" customHeight="1">
      <c r="A6" s="5" t="inlineStr">
        <is>
          <t>VTEX IO (tienda actual)</t>
        </is>
      </c>
      <c r="B6" s="10" t="inlineStr">
        <is>
          <t>Catálogo, pedidos y logística; B2B Suite sujeto a habilitación</t>
        </is>
      </c>
      <c r="C6" s="10" t="inlineStr">
        <is>
          <t>Lectura del sitio 15-10-2026: generator VTEX y catálogo público HTTP 206; auditoría del equipo y VTEX Developers</t>
        </is>
      </c>
      <c r="D6" s="10" t="inlineStr">
        <is>
          <t>Catalog de lectura; Checkout para alta autorizada de pedidos; Orders Feed/Hook para estados; Logistics para inventario/cobertura</t>
        </is>
      </c>
      <c r="E6" s="10" t="inlineStr">
        <is>
          <t>Lectura de catálogo comprobada; acceso privado de escritura e inventario por validar</t>
        </is>
      </c>
      <c r="F6" s="6" t="inlineStr">
        <is>
          <t>Archivo programado (CSV/XLS) diario, como hoy envían datos los partners [3]</t>
        </is>
      </c>
    </row>
    <row r="7" ht="49" customHeight="1">
      <c r="A7" s="5" t="inlineStr">
        <is>
          <t>ERP de Marley Coffee</t>
        </is>
      </c>
      <c r="B7" s="10" t="inlineStr">
        <is>
          <t>Facturación, inventario, pedidos y datos maestros</t>
        </is>
      </c>
      <c r="C7" s="10" t="inlineStr">
        <is>
          <t>Caso: 95 %* de transacciones completas, sin identificar el punto físico</t>
        </is>
      </c>
      <c r="D7" s="10" t="inlineStr">
        <is>
          <t>API del ERP; si no existe, conector intermedio o archivo programado</t>
        </is>
      </c>
      <c r="E7" s="10" t="inlineStr">
        <is>
          <t>Marca y API no informadas: por confirmar</t>
        </is>
      </c>
      <c r="F7" s="6" t="inlineStr">
        <is>
          <t>Archivo programado (CSV/XLS) diario, como hoy envían datos los partners [3]</t>
        </is>
      </c>
    </row>
    <row r="8" ht="49" customHeight="1">
      <c r="A8" s="5" t="inlineStr">
        <is>
          <t>CRM comercial actual</t>
        </is>
      </c>
      <c r="B8" s="10" t="inlineStr">
        <is>
          <t>Cuentas B2B y oportunidades</t>
        </is>
      </c>
      <c r="C8" s="10" t="inlineStr">
        <is>
          <t>Caso: 65 %* de las cuentas; 40 %* de fichas completas</t>
        </is>
      </c>
      <c r="D8" s="10" t="inlineStr">
        <is>
          <t>Migración inicial y sincronización de cuentas</t>
        </is>
      </c>
      <c r="E8" s="10" t="inlineStr">
        <is>
          <t>Por confirmar</t>
        </is>
      </c>
      <c r="F8" s="6" t="inlineStr">
        <is>
          <t>Archivo programado (CSV/XLS) diario, como hoy envían datos los partners [3]</t>
        </is>
      </c>
    </row>
    <row r="9" ht="49" customHeight="1">
      <c r="A9" s="5" t="inlineStr">
        <is>
          <t>Atención e incidencias</t>
        </is>
      </c>
      <c r="B9" s="10" t="inlineStr">
        <is>
          <t>Fallas de máquina, soporte y postventa</t>
        </is>
      </c>
      <c r="C9" s="10" t="inlineStr">
        <is>
          <t>Caso académico; auditoría externa detectó Zendesk en agosto, sin validar operación o cuenta interna</t>
        </is>
      </c>
      <c r="D9" s="10" t="inlineStr">
        <is>
          <t>API/webhooks del sistema confirmado; Zendesk ofrece mecanismos documentados si corresponde</t>
        </is>
      </c>
      <c r="E9" s="10" t="inlineStr">
        <is>
          <t>Sistema y accesos internos por validar</t>
        </is>
      </c>
      <c r="F9" s="6" t="inlineStr">
        <is>
          <t>Archivo programado (CSV/XLS) diario, como hoy envían datos los partners [3]</t>
        </is>
      </c>
    </row>
    <row r="10" ht="62" customHeight="1">
      <c r="A10" s="5" t="inlineStr">
        <is>
          <t>Mercado Pago y Webpay</t>
        </is>
      </c>
      <c r="B10" s="10" t="inlineStr">
        <is>
          <t>Confirmación de transacción y conciliación</t>
        </is>
      </c>
      <c r="C10" s="10" t="inlineStr">
        <is>
          <t>Métodos reportados por la auditoría del equipo y documentación de proveedores; banner de Mercado Pago observado el 15-10-2026</t>
        </is>
      </c>
      <c r="D10" s="10" t="inlineStr">
        <is>
          <t>Reutilizar integración autorizada de VTEX; confirmar estado con proveedor/servidor antes de conciliar</t>
        </is>
      </c>
      <c r="E10" s="10" t="inlineStr">
        <is>
          <t>Medios identificados por diagnóstico externo; configuración privada y acceso por confirmar</t>
        </is>
      </c>
      <c r="F10" s="6" t="inlineStr">
        <is>
          <t>—</t>
        </is>
      </c>
    </row>
    <row r="11" ht="49" customHeight="1">
      <c r="A11" s="5" t="inlineStr">
        <is>
          <t>Facturación desde el ERP</t>
        </is>
      </c>
      <c r="B11" s="10" t="inlineStr">
        <is>
          <t>Factura y documentos de despacho</t>
        </is>
      </c>
      <c r="C11" s="10" t="inlineStr">
        <is>
          <t>Facturación indicada en el caso; referencia normativa SII no acredita una integración específica</t>
        </is>
      </c>
      <c r="D11" s="10" t="inlineStr">
        <is>
          <t>ERP o proveedor de facturación confirmado por Marley</t>
        </is>
      </c>
      <c r="E11" s="10" t="inlineStr">
        <is>
          <t>Emisión desde ERP o proveedor habilitado por confirmar; no se probó acceso</t>
        </is>
      </c>
      <c r="F11" s="6" t="inlineStr">
        <is>
          <t>—</t>
        </is>
      </c>
    </row>
    <row r="12" ht="62" customHeight="1">
      <c r="A12" s="5" t="inlineStr">
        <is>
          <t>Rutas propias y transporte por definir</t>
        </is>
      </c>
      <c r="B12" s="10" t="inlineStr">
        <is>
          <t>Despacho y seguimiento</t>
        </is>
      </c>
      <c r="C12" s="10" t="inlineStr">
        <is>
          <t>Diseño previo del MVP; no acreditado como operador por la detección externa de «Blue»</t>
        </is>
      </c>
      <c r="D12" s="10" t="inlineStr">
        <is>
          <t>Proveedor y contrato por validar; Blue Express es una alternativa documentada, no una integración probada de Marley</t>
        </is>
      </c>
      <c r="E12" s="10" t="inlineStr">
        <is>
          <t>Operador y contrato por confirmar; detección externa de «Blue» no identifica Blue Express</t>
        </is>
      </c>
      <c r="F12" s="6" t="inlineStr">
        <is>
          <t>Archivo programado (CSV/XLS) diario, como hoy envían datos los partners [3]</t>
        </is>
      </c>
    </row>
    <row r="13" ht="49" customHeight="1">
      <c r="A13" s="5" t="inlineStr">
        <is>
          <t>Connectif</t>
        </is>
      </c>
      <c r="B13" s="10" t="inlineStr">
        <is>
          <t>Automatización, contactos y personalización</t>
        </is>
      </c>
      <c r="C13" s="10" t="inlineStr">
        <is>
          <t>Pixel connectif.connectif presente en el HTML consultado el 15-10-2026; auditoría 27-08-2026</t>
        </is>
      </c>
      <c r="D13" s="10" t="inlineStr">
        <is>
          <t>API de contactos, compras, productos y eventos personalizados documentada</t>
        </is>
      </c>
      <c r="E13" s="10" t="inlineStr">
        <is>
          <t>Recurso público observado; cuenta, permisos y automatizaciones por validar</t>
        </is>
      </c>
      <c r="F13" s="6" t="inlineStr">
        <is>
          <t>Archivo programado (CSV/XLS) diario, como hoy envían datos los partners [3]</t>
        </is>
      </c>
    </row>
    <row r="14" ht="62" customHeight="1">
      <c r="A14" s="5" t="inlineStr">
        <is>
          <t>Google Tag Manager y GA4</t>
        </is>
      </c>
      <c r="B14" s="10" t="inlineStr">
        <is>
          <t>Eventos, origen y medición del recorrido</t>
        </is>
      </c>
      <c r="C14" s="10" t="inlineStr">
        <is>
          <t>GTM y configuración sendGA4EventsValue visibles el 15-10-2026; auditoría externa de agosto</t>
        </is>
      </c>
      <c r="D14" s="10" t="inlineStr">
        <is>
          <t>dataLayer y Measurement Protocol desde servidor; eventos y consentimiento por validar en propiedad</t>
        </is>
      </c>
      <c r="E14" s="10" t="inlineStr">
        <is>
          <t>GTM/configuración pública observada; propiedad, permisos y recepción real de eventos por validar</t>
        </is>
      </c>
      <c r="F14" s="6" t="inlineStr">
        <is>
          <t>—</t>
        </is>
      </c>
    </row>
    <row r="15" ht="62" customHeight="1">
      <c r="A15" s="7" t="inlineStr">
        <is>
          <t>Chat consultivo, correo comercial y WhatsApp postventa entrante</t>
        </is>
      </c>
      <c r="B15" s="14" t="inlineStr">
        <is>
          <t>Continuidad documental y conversacional</t>
        </is>
      </c>
      <c r="C15" s="14" t="inlineStr">
        <is>
          <t>Message Center para eventos de pedidos; política de WhatsApp y APIs de Connectif documentadas</t>
        </is>
      </c>
      <c r="D15" s="14" t="inlineStr">
        <is>
          <t>W1/W4 por correo mediante Connectif u orquestación. WhatsApp solo postventa entrante; Message Center no prueba nutrición comercial</t>
        </is>
      </c>
      <c r="E15" s="14" t="inlineStr">
        <is>
          <t>Flujos locales demostrables; remitente, número, permisos y proveedores pendientes</t>
        </is>
      </c>
      <c r="F15" s="8" t="inlineStr">
        <is>
          <t>Archivo programado (CSV/XLS) diario, como hoy envían datos los partners [3]</t>
        </is>
      </c>
    </row>
    <row r="16" ht="23" customHeight="1"/>
    <row r="17" ht="62" customHeight="1">
      <c r="A17" s="50" t="inlineStr">
        <is>
          <t>Contrato de la capa de integración: cada acción de un agente es una llamada a un sistema</t>
        </is>
      </c>
    </row>
    <row r="18" ht="30" customHeight="1">
      <c r="A18" s="4" t="inlineStr">
        <is>
          <t>Acción del agente</t>
        </is>
      </c>
      <c r="B18" s="4" t="inlineStr">
        <is>
          <t>Método</t>
        </is>
      </c>
      <c r="C18" s="4" t="inlineStr">
        <is>
          <t>Endpoint propio</t>
        </is>
      </c>
      <c r="D18" s="4" t="inlineStr">
        <is>
          <t>Sistema destino</t>
        </is>
      </c>
      <c r="E18" s="4" t="inlineStr">
        <is>
          <t>Qué hace / API del sistema</t>
        </is>
      </c>
      <c r="F18" s="4" t="inlineStr">
        <is>
          <t>Decide una persona</t>
        </is>
      </c>
    </row>
    <row r="19" ht="49" customHeight="1">
      <c r="A19" s="5" t="inlineStr">
        <is>
          <t>Registrar origen</t>
        </is>
      </c>
      <c r="B19" s="10" t="inlineStr">
        <is>
          <t>POST</t>
        </is>
      </c>
      <c r="C19" s="10" t="inlineStr">
        <is>
          <t>/v1/contactos/{id}/eventos</t>
        </is>
      </c>
      <c r="D19" s="10" t="inlineStr">
        <is>
          <t>Google Tag Manager y GA4</t>
        </is>
      </c>
      <c r="E19" s="10" t="inlineStr">
        <is>
          <t>Evento con UTM al CRM y a GA4</t>
        </is>
      </c>
      <c r="F19" s="6" t="inlineStr">
        <is>
          <t>Según permiso y regla; operaciones críticas requieren aprobación</t>
        </is>
      </c>
    </row>
    <row r="20" ht="49" customHeight="1">
      <c r="A20" s="5" t="inlineStr">
        <is>
          <t>Puntaje +</t>
        </is>
      </c>
      <c r="B20" s="10" t="inlineStr">
        <is>
          <t>PATCH</t>
        </is>
      </c>
      <c r="C20" s="10" t="inlineStr">
        <is>
          <t>/v1/contactos/{id}/puntaje</t>
        </is>
      </c>
      <c r="D20" s="10" t="inlineStr">
        <is>
          <t>CRM Marley Coffee Empresas (propuesto)</t>
        </is>
      </c>
      <c r="E20" s="10" t="inlineStr">
        <is>
          <t>Suma el evento al Engagement Score</t>
        </is>
      </c>
      <c r="F20" s="6" t="inlineStr">
        <is>
          <t>Según permiso y regla; operaciones críticas requieren aprobación</t>
        </is>
      </c>
    </row>
    <row r="21" ht="49" customHeight="1">
      <c r="A21" s="5" t="inlineStr">
        <is>
          <t>Enviar correo de bienvenida</t>
        </is>
      </c>
      <c r="B21" s="10" t="inlineStr">
        <is>
          <t>POST</t>
        </is>
      </c>
      <c r="C21" s="10" t="inlineStr">
        <is>
          <t>/v1/mensajes/correo</t>
        </is>
      </c>
      <c r="D21" s="10" t="inlineStr">
        <is>
          <t>Chat consultivo, correo comercial y WhatsApp postventa entrante</t>
        </is>
      </c>
      <c r="E21" s="10" t="inlineStr">
        <is>
          <t>Plantilla de bienvenida con N.º de seguimiento</t>
        </is>
      </c>
      <c r="F21" s="6" t="inlineStr">
        <is>
          <t>Según permiso y regla; operaciones críticas requieren aprobación</t>
        </is>
      </c>
    </row>
    <row r="22" ht="49" customHeight="1">
      <c r="A22" s="5" t="inlineStr">
        <is>
          <t>Enviar acuse por correo</t>
        </is>
      </c>
      <c r="B22" s="10" t="inlineStr">
        <is>
          <t>POST</t>
        </is>
      </c>
      <c r="C22" s="10" t="inlineStr">
        <is>
          <t>/v1/mensajes/correo</t>
        </is>
      </c>
      <c r="D22" s="10" t="inlineStr">
        <is>
          <t>Chat consultivo, correo comercial y WhatsApp postventa entrante</t>
        </is>
      </c>
      <c r="E22" s="10" t="inlineStr">
        <is>
          <t>Acuse con la ejecutiva asignada</t>
        </is>
      </c>
      <c r="F22" s="6" t="inlineStr">
        <is>
          <t>Según permiso y regla; operaciones críticas requieren aprobación</t>
        </is>
      </c>
    </row>
    <row r="23" ht="49" customHeight="1">
      <c r="A23" s="5" t="inlineStr">
        <is>
          <t>Leer diagnóstico</t>
        </is>
      </c>
      <c r="B23" s="10" t="inlineStr">
        <is>
          <t>GET</t>
        </is>
      </c>
      <c r="C23" s="10" t="inlineStr">
        <is>
          <t>/v1/contactos/{id}/diagnostico</t>
        </is>
      </c>
      <c r="D23" s="10" t="inlineStr">
        <is>
          <t>CRM Marley Coffee Empresas (propuesto)</t>
        </is>
      </c>
      <c r="E23" s="10" t="inlineStr">
        <is>
          <t>Respuestas del diagnóstico de 3 pasos</t>
        </is>
      </c>
      <c r="F23" s="6" t="inlineStr">
        <is>
          <t>Según permiso y regla; operaciones críticas requieren aprobación</t>
        </is>
      </c>
    </row>
    <row r="24" ht="49" customHeight="1">
      <c r="A24" s="5" t="inlineStr">
        <is>
          <t>Asignar ejecutiva de zona</t>
        </is>
      </c>
      <c r="B24" s="10" t="inlineStr">
        <is>
          <t>PATCH</t>
        </is>
      </c>
      <c r="C24" s="10" t="inlineStr">
        <is>
          <t>/v1/contactos/{id}/asignacion</t>
        </is>
      </c>
      <c r="D24" s="10" t="inlineStr">
        <is>
          <t>CRM comercial actual</t>
        </is>
      </c>
      <c r="E24" s="10" t="inlineStr">
        <is>
          <t>Ejecutiva por comuna; se sincroniza con el CRM comercial</t>
        </is>
      </c>
      <c r="F24" s="6" t="inlineStr">
        <is>
          <t>Según permiso y regla; operaciones críticas requieren aprobación</t>
        </is>
      </c>
    </row>
    <row r="25" ht="49" customHeight="1">
      <c r="A25" s="5" t="inlineStr">
        <is>
          <t>Consultar ruta de despacho</t>
        </is>
      </c>
      <c r="B25" s="10" t="inlineStr">
        <is>
          <t>GET</t>
        </is>
      </c>
      <c r="C25" s="10" t="inlineStr">
        <is>
          <t>/v1/logistica/cobertura?comuna=</t>
        </is>
      </c>
      <c r="D25" s="10" t="inlineStr">
        <is>
          <t>VTEX IO (tienda actual)</t>
        </is>
      </c>
      <c r="E25" s="10" t="inlineStr">
        <is>
          <t>VTEX Logistics API: transportistas y cobertura</t>
        </is>
      </c>
      <c r="F25" s="6" t="inlineStr">
        <is>
          <t>Según permiso y regla; operaciones críticas requieren aprobación</t>
        </is>
      </c>
    </row>
    <row r="26" ht="49" customHeight="1">
      <c r="A26" s="5" t="inlineStr">
        <is>
          <t>Estimar consumo</t>
        </is>
      </c>
      <c r="B26" s="10" t="inlineStr">
        <is>
          <t>GET</t>
        </is>
      </c>
      <c r="C26" s="10" t="inlineStr">
        <is>
          <t>/v1/contactos/{id}/diagnostico</t>
        </is>
      </c>
      <c r="D26" s="10" t="inlineStr">
        <is>
          <t>CRM Marley Coffee Empresas (propuesto)</t>
        </is>
      </c>
      <c r="E26" s="10" t="inlineStr">
        <is>
          <t>Volumen declarado</t>
        </is>
      </c>
      <c r="F26" s="6" t="inlineStr">
        <is>
          <t>Según permiso y regla; operaciones críticas requieren aprobación</t>
        </is>
      </c>
    </row>
    <row r="27" ht="49" customHeight="1">
      <c r="A27" s="5" t="inlineStr">
        <is>
          <t>Elegir formato</t>
        </is>
      </c>
      <c r="B27" s="10" t="inlineStr">
        <is>
          <t>GET</t>
        </is>
      </c>
      <c r="C27" s="10" t="inlineStr">
        <is>
          <t>/v1/catalogo?formato=</t>
        </is>
      </c>
      <c r="D27" s="10" t="inlineStr">
        <is>
          <t>VTEX IO (tienda actual)</t>
        </is>
      </c>
      <c r="E27" s="10" t="inlineStr">
        <is>
          <t>VTEX Catalog API: productos oficiales</t>
        </is>
      </c>
      <c r="F27" s="6" t="inlineStr">
        <is>
          <t>Según permiso y regla; operaciones críticas requieren aprobación</t>
        </is>
      </c>
    </row>
    <row r="28" ht="49" customHeight="1">
      <c r="A28" s="5" t="inlineStr">
        <is>
          <t>Pedir revisión de stock</t>
        </is>
      </c>
      <c r="B28" s="10" t="inlineStr">
        <is>
          <t>GET</t>
        </is>
      </c>
      <c r="C28" s="10" t="inlineStr">
        <is>
          <t>/v1/inventario?sku=</t>
        </is>
      </c>
      <c r="D28" s="10" t="inlineStr">
        <is>
          <t>VTEX IO (tienda actual)</t>
        </is>
      </c>
      <c r="E28" s="10" t="inlineStr">
        <is>
          <t>VTEX Logistics API: inventario por SKU</t>
        </is>
      </c>
      <c r="F28" s="6" t="inlineStr">
        <is>
          <t>Según permiso y regla; operaciones críticas requieren aprobación</t>
        </is>
      </c>
    </row>
    <row r="29" ht="49" customHeight="1">
      <c r="A29" s="5" t="inlineStr">
        <is>
          <t>Consultar inventario</t>
        </is>
      </c>
      <c r="B29" s="10" t="inlineStr">
        <is>
          <t>GET</t>
        </is>
      </c>
      <c r="C29" s="10" t="inlineStr">
        <is>
          <t>/v1/inventario?sku=</t>
        </is>
      </c>
      <c r="D29" s="10" t="inlineStr">
        <is>
          <t>VTEX IO (tienda actual)</t>
        </is>
      </c>
      <c r="E29" s="10" t="inlineStr">
        <is>
          <t>VTEX Logistics API: inventario por SKU; ERP como respaldo</t>
        </is>
      </c>
      <c r="F29" s="6" t="inlineStr">
        <is>
          <t>Según permiso y regla; operaciones críticas requieren aprobación</t>
        </is>
      </c>
    </row>
    <row r="30" ht="49" customHeight="1">
      <c r="A30" s="5" t="inlineStr">
        <is>
          <t>Marcar MQL</t>
        </is>
      </c>
      <c r="B30" s="10" t="inlineStr">
        <is>
          <t>PATCH</t>
        </is>
      </c>
      <c r="C30" s="10" t="inlineStr">
        <is>
          <t>/v1/contactos/{id}/etapa</t>
        </is>
      </c>
      <c r="D30" s="10" t="inlineStr">
        <is>
          <t>CRM Marley Coffee Empresas (propuesto)</t>
        </is>
      </c>
      <c r="E30" s="10" t="inlineStr">
        <is>
          <t>Etapa MQL</t>
        </is>
      </c>
      <c r="F30" s="6" t="inlineStr">
        <is>
          <t>Según permiso y regla; operaciones críticas requieren aprobación</t>
        </is>
      </c>
    </row>
    <row r="31" ht="49" customHeight="1">
      <c r="A31" s="5" t="inlineStr">
        <is>
          <t>Abrir chat en el portal</t>
        </is>
      </c>
      <c r="B31" s="10" t="inlineStr">
        <is>
          <t>POST</t>
        </is>
      </c>
      <c r="C31" s="10" t="inlineStr">
        <is>
          <t>/v1/conversaciones</t>
        </is>
      </c>
      <c r="D31" s="10" t="inlineStr">
        <is>
          <t>Chat consultivo, correo comercial y WhatsApp postventa entrante</t>
        </is>
      </c>
      <c r="E31" s="10" t="inlineStr">
        <is>
          <t>Conversación con bot de bienvenida</t>
        </is>
      </c>
      <c r="F31" s="6" t="inlineStr">
        <is>
          <t>Según permiso y regla; operaciones críticas requieren aprobación</t>
        </is>
      </c>
    </row>
    <row r="32" ht="49" customHeight="1">
      <c r="A32" s="5" t="inlineStr">
        <is>
          <t>Encolar llamada</t>
        </is>
      </c>
      <c r="B32" s="10" t="inlineStr">
        <is>
          <t>POST</t>
        </is>
      </c>
      <c r="C32" s="10" t="inlineStr">
        <is>
          <t>/v1/llamadas/cola</t>
        </is>
      </c>
      <c r="D32" s="10" t="inlineStr">
        <is>
          <t>Chat consultivo, correo comercial y WhatsApp postventa entrante</t>
        </is>
      </c>
      <c r="E32" s="10" t="inlineStr">
        <is>
          <t>Cola de la ejecutiva de la zona</t>
        </is>
      </c>
      <c r="F32" s="6" t="inlineStr">
        <is>
          <t>Según permiso y regla; operaciones críticas requieren aprobación</t>
        </is>
      </c>
    </row>
    <row r="33" ht="49" customHeight="1">
      <c r="A33" s="5" t="inlineStr">
        <is>
          <t>Programar recordatorio</t>
        </is>
      </c>
      <c r="B33" s="10" t="inlineStr">
        <is>
          <t>POST</t>
        </is>
      </c>
      <c r="C33" s="10" t="inlineStr">
        <is>
          <t>/v1/secuencias</t>
        </is>
      </c>
      <c r="D33" s="10" t="inlineStr">
        <is>
          <t>CRM Marley Coffee Empresas (propuesto)</t>
        </is>
      </c>
      <c r="E33" s="10" t="inlineStr">
        <is>
          <t>W4: «Retoma tu solución» a las 24 h</t>
        </is>
      </c>
      <c r="F33" s="6" t="inlineStr">
        <is>
          <t>Según permiso y regla; operaciones críticas requieren aprobación</t>
        </is>
      </c>
    </row>
    <row r="34" ht="49" customHeight="1">
      <c r="A34" s="5" t="inlineStr">
        <is>
          <t>Registrar llamada</t>
        </is>
      </c>
      <c r="B34" s="10" t="inlineStr">
        <is>
          <t>POST</t>
        </is>
      </c>
      <c r="C34" s="10" t="inlineStr">
        <is>
          <t>/v1/actividades</t>
        </is>
      </c>
      <c r="D34" s="10" t="inlineStr">
        <is>
          <t>CRM Marley Coffee Empresas (propuesto)</t>
        </is>
      </c>
      <c r="E34" s="10" t="inlineStr">
        <is>
          <t>Resultado de la llamada</t>
        </is>
      </c>
      <c r="F34" s="6" t="inlineStr">
        <is>
          <t>Según permiso y regla; operaciones críticas requieren aprobación</t>
        </is>
      </c>
    </row>
    <row r="35" ht="49" customHeight="1">
      <c r="A35" s="5" t="inlineStr">
        <is>
          <t>Armar propuesta</t>
        </is>
      </c>
      <c r="B35" s="10" t="inlineStr">
        <is>
          <t>POST</t>
        </is>
      </c>
      <c r="C35" s="10" t="inlineStr">
        <is>
          <t>/v1/propuestas</t>
        </is>
      </c>
      <c r="D35" s="10" t="inlineStr">
        <is>
          <t>VTEX IO (tienda actual)</t>
        </is>
      </c>
      <c r="E35" s="10" t="inlineStr">
        <is>
          <t>El agente de ventas arma la propuesta al instante con VTEX Catalog API y stock</t>
        </is>
      </c>
      <c r="F35" s="6" t="inlineStr">
        <is>
          <t>Según permiso y regla; operaciones críticas requieren aprobación</t>
        </is>
      </c>
    </row>
    <row r="36" ht="36" customHeight="1">
      <c r="A36" s="5" t="inlineStr">
        <is>
          <t>Enviar propuesta</t>
        </is>
      </c>
      <c r="B36" s="10" t="inlineStr">
        <is>
          <t>POST</t>
        </is>
      </c>
      <c r="C36" s="10" t="inlineStr">
        <is>
          <t>/v1/propuestas/{id}/envio</t>
        </is>
      </c>
      <c r="D36" s="10" t="inlineStr">
        <is>
          <t>CRM Marley Coffee Empresas (propuesto)</t>
        </is>
      </c>
      <c r="E36" s="10" t="inlineStr">
        <is>
          <t>Propuesta al portal o por correo</t>
        </is>
      </c>
      <c r="F36" s="6" t="inlineStr">
        <is>
          <t>Sí</t>
        </is>
      </c>
    </row>
    <row r="37" ht="49" customHeight="1">
      <c r="A37" s="5" t="inlineStr">
        <is>
          <t>Reservar stock</t>
        </is>
      </c>
      <c r="B37" s="10" t="inlineStr">
        <is>
          <t>POST</t>
        </is>
      </c>
      <c r="C37" s="10" t="inlineStr">
        <is>
          <t>/v1/reservas</t>
        </is>
      </c>
      <c r="D37" s="10" t="inlineStr">
        <is>
          <t>VTEX IO (tienda actual)</t>
        </is>
      </c>
      <c r="E37" s="10" t="inlineStr">
        <is>
          <t>Reserva de inventario (VTEX Logistics); ERP como respaldo</t>
        </is>
      </c>
      <c r="F37" s="6" t="inlineStr">
        <is>
          <t>Sí</t>
        </is>
      </c>
    </row>
    <row r="38" ht="49" customHeight="1">
      <c r="A38" s="5" t="inlineStr">
        <is>
          <t>Crear cuenta B2B</t>
        </is>
      </c>
      <c r="B38" s="10" t="inlineStr">
        <is>
          <t>POST</t>
        </is>
      </c>
      <c r="C38" s="10" t="inlineStr">
        <is>
          <t>/v1/clientes</t>
        </is>
      </c>
      <c r="D38" s="10" t="inlineStr">
        <is>
          <t>VTEX IO (tienda actual)</t>
        </is>
      </c>
      <c r="E38" s="10" t="inlineStr">
        <is>
          <t>Organización B2B en VTEX (RUT, giro, sucursal, medios de pago) y maestro del ERP</t>
        </is>
      </c>
      <c r="F38" s="6" t="inlineStr">
        <is>
          <t>Sí</t>
        </is>
      </c>
    </row>
    <row r="39" ht="36" customHeight="1">
      <c r="A39" s="5" t="inlineStr">
        <is>
          <t>Agendar despacho</t>
        </is>
      </c>
      <c r="B39" s="10" t="inlineStr">
        <is>
          <t>POST</t>
        </is>
      </c>
      <c r="C39" s="10" t="inlineStr">
        <is>
          <t>/v1/despachos</t>
        </is>
      </c>
      <c r="D39" s="10" t="inlineStr">
        <is>
          <t>Rutas propias y transporte por definir</t>
        </is>
      </c>
      <c r="E39" s="10" t="inlineStr">
        <is>
          <t>Ruta propia o Blue Express</t>
        </is>
      </c>
      <c r="F39" s="6" t="inlineStr">
        <is>
          <t>Sí</t>
        </is>
      </c>
    </row>
    <row r="40" ht="36" customHeight="1">
      <c r="A40" s="5" t="inlineStr">
        <is>
          <t>Pedir aceptación humana</t>
        </is>
      </c>
      <c r="B40" s="10" t="inlineStr">
        <is>
          <t>POST</t>
        </is>
      </c>
      <c r="C40" s="10" t="inlineStr">
        <is>
          <t>/v1/aprobaciones</t>
        </is>
      </c>
      <c r="D40" s="10" t="inlineStr">
        <is>
          <t>CRM Marley Coffee Empresas (propuesto)</t>
        </is>
      </c>
      <c r="E40" s="10" t="inlineStr">
        <is>
          <t>Tarea para la persona que decide</t>
        </is>
      </c>
      <c r="F40" s="6" t="inlineStr">
        <is>
          <t>Sí</t>
        </is>
      </c>
    </row>
    <row r="41" ht="36" customHeight="1">
      <c r="A41" s="5" t="inlineStr">
        <is>
          <t>SQL aceptado</t>
        </is>
      </c>
      <c r="B41" s="10" t="inlineStr">
        <is>
          <t>POST</t>
        </is>
      </c>
      <c r="C41" s="10" t="inlineStr">
        <is>
          <t>/v1/oportunidades</t>
        </is>
      </c>
      <c r="D41" s="10" t="inlineStr">
        <is>
          <t>CRM comercial actual</t>
        </is>
      </c>
      <c r="E41" s="10" t="inlineStr">
        <is>
          <t>Oportunidad en el CRM comercial</t>
        </is>
      </c>
      <c r="F41" s="6" t="inlineStr">
        <is>
          <t>Sí</t>
        </is>
      </c>
    </row>
    <row r="42" ht="101" customHeight="1">
      <c r="A42" s="5" t="inlineStr">
        <is>
          <t>Crear pedido de reposición</t>
        </is>
      </c>
      <c r="B42" s="10" t="inlineStr">
        <is>
          <t>POST</t>
        </is>
      </c>
      <c r="C42" s="10" t="inlineStr">
        <is>
          <t>/v1/pedidos</t>
        </is>
      </c>
      <c r="D42" s="10" t="inlineStr">
        <is>
          <t>VTEX IO (tienda actual)</t>
        </is>
      </c>
      <c r="E42" s="10" t="inlineStr">
        <is>
          <t>Contrato propio propuesto: Checkout valida la reposición y el flujo autorizado confirma; Orders consulta estado y Feed/Hook lleva el cambio al ERP. Accesos por habilitar.</t>
        </is>
      </c>
      <c r="F42" s="6" t="inlineStr">
        <is>
          <t>Sí: cliente confirma</t>
        </is>
      </c>
    </row>
    <row r="43" ht="49" customHeight="1">
      <c r="A43" s="5" t="inlineStr">
        <is>
          <t>Factura electrónica</t>
        </is>
      </c>
      <c r="B43" s="10" t="inlineStr">
        <is>
          <t>POST</t>
        </is>
      </c>
      <c r="C43" s="10" t="inlineStr">
        <is>
          <t>/v1/facturas</t>
        </is>
      </c>
      <c r="D43" s="10" t="inlineStr">
        <is>
          <t>Facturación desde el ERP</t>
        </is>
      </c>
      <c r="E43" s="10" t="inlineStr">
        <is>
          <t>ERP emite la factura electrónica (DTE) al despachar</t>
        </is>
      </c>
      <c r="F43" s="6" t="inlineStr">
        <is>
          <t>Según permiso y regla; operaciones críticas requieren aprobación</t>
        </is>
      </c>
    </row>
    <row r="44" ht="49" customHeight="1">
      <c r="A44" s="5" t="inlineStr">
        <is>
          <t>Registrar interés LM4</t>
        </is>
      </c>
      <c r="B44" s="10" t="inlineStr">
        <is>
          <t>PATCH</t>
        </is>
      </c>
      <c r="C44" s="10" t="inlineStr">
        <is>
          <t>/v1/contactos/{id}/intereses</t>
        </is>
      </c>
      <c r="D44" s="10" t="inlineStr">
        <is>
          <t>CRM Marley Coffee Empresas (propuesto)</t>
        </is>
      </c>
      <c r="E44" s="10" t="inlineStr">
        <is>
          <t>Lo que quiere sumar a la ampliada</t>
        </is>
      </c>
      <c r="F44" s="6" t="inlineStr">
        <is>
          <t>Según permiso y regla; operaciones críticas requieren aprobación</t>
        </is>
      </c>
    </row>
    <row r="45" ht="49" customHeight="1">
      <c r="A45" s="5" t="inlineStr">
        <is>
          <t>Programar aviso de reposición</t>
        </is>
      </c>
      <c r="B45" s="10" t="inlineStr">
        <is>
          <t>POST</t>
        </is>
      </c>
      <c r="C45" s="10" t="inlineStr">
        <is>
          <t>/v1/secuencias</t>
        </is>
      </c>
      <c r="D45" s="10" t="inlineStr">
        <is>
          <t>CRM Marley Coffee Empresas (propuesto)</t>
        </is>
      </c>
      <c r="E45" s="10" t="inlineStr">
        <is>
          <t>W7: aviso 2 días antes de su fecha</t>
        </is>
      </c>
      <c r="F45" s="6" t="inlineStr">
        <is>
          <t>Según permiso y regla; operaciones críticas requieren aprobación</t>
        </is>
      </c>
    </row>
    <row r="46" ht="36" customHeight="1">
      <c r="A46" s="5" t="inlineStr">
        <is>
          <t>Crear oportunidad de expansión</t>
        </is>
      </c>
      <c r="B46" s="10" t="inlineStr">
        <is>
          <t>POST</t>
        </is>
      </c>
      <c r="C46" s="10" t="inlineStr">
        <is>
          <t>/v1/oportunidades</t>
        </is>
      </c>
      <c r="D46" s="10" t="inlineStr">
        <is>
          <t>CRM comercial actual</t>
        </is>
      </c>
      <c r="E46" s="10" t="inlineStr">
        <is>
          <t>Servicio para escalar (LM6)</t>
        </is>
      </c>
      <c r="F46" s="6" t="inlineStr">
        <is>
          <t>Sí</t>
        </is>
      </c>
    </row>
    <row r="47" ht="49" customHeight="1">
      <c r="A47" s="5" t="inlineStr">
        <is>
          <t>Registrar referido</t>
        </is>
      </c>
      <c r="B47" s="10" t="inlineStr">
        <is>
          <t>POST</t>
        </is>
      </c>
      <c r="C47" s="10" t="inlineStr">
        <is>
          <t>/v1/referidos</t>
        </is>
      </c>
      <c r="D47" s="10" t="inlineStr">
        <is>
          <t>CRM Marley Coffee Empresas (propuesto)</t>
        </is>
      </c>
      <c r="E47" s="10" t="inlineStr">
        <is>
          <t>Código y origen «Referido»</t>
        </is>
      </c>
      <c r="F47" s="6" t="inlineStr">
        <is>
          <t>Según permiso y regla; operaciones críticas requieren aprobación</t>
        </is>
      </c>
    </row>
    <row r="48" ht="49" customHeight="1">
      <c r="A48" s="5" t="inlineStr">
        <is>
          <t>Leer frecuencia de compra</t>
        </is>
      </c>
      <c r="B48" s="10" t="inlineStr">
        <is>
          <t>GET</t>
        </is>
      </c>
      <c r="C48" s="10" t="inlineStr">
        <is>
          <t>/v1/pedidos?cliente=</t>
        </is>
      </c>
      <c r="D48" s="10" t="inlineStr">
        <is>
          <t>ERP de Marley Coffee</t>
        </is>
      </c>
      <c r="E48" s="10" t="inlineStr">
        <is>
          <t>Historial de pedidos (ERP / VTEX Orders)</t>
        </is>
      </c>
      <c r="F48" s="6" t="inlineStr">
        <is>
          <t>Según permiso y regla; operaciones críticas requieren aprobación</t>
        </is>
      </c>
    </row>
    <row r="49" ht="49" customHeight="1">
      <c r="A49" s="5" t="inlineStr">
        <is>
          <t>Atribuir campaña</t>
        </is>
      </c>
      <c r="B49" s="10" t="inlineStr">
        <is>
          <t>GET</t>
        </is>
      </c>
      <c r="C49" s="10" t="inlineStr">
        <is>
          <t>/v1/atribucion?campana=</t>
        </is>
      </c>
      <c r="D49" s="10" t="inlineStr">
        <is>
          <t>Google Tag Manager y GA4</t>
        </is>
      </c>
      <c r="E49" s="10" t="inlineStr">
        <is>
          <t>Origen y campaña desde GA4</t>
        </is>
      </c>
      <c r="F49" s="6" t="inlineStr">
        <is>
          <t>Según permiso y regla; operaciones críticas requieren aprobación</t>
        </is>
      </c>
    </row>
    <row r="50" ht="49" customHeight="1">
      <c r="A50" s="5" t="inlineStr">
        <is>
          <t>Reasignar si hay espera</t>
        </is>
      </c>
      <c r="B50" s="10" t="inlineStr">
        <is>
          <t>PATCH</t>
        </is>
      </c>
      <c r="C50" s="10" t="inlineStr">
        <is>
          <t>/v1/conversaciones/{id}/asignacion</t>
        </is>
      </c>
      <c r="D50" s="10" t="inlineStr">
        <is>
          <t>CRM Marley Coffee Empresas (propuesto)</t>
        </is>
      </c>
      <c r="E50" s="10" t="inlineStr">
        <is>
          <t>Otra ejecutiva disponible</t>
        </is>
      </c>
      <c r="F50" s="6" t="inlineStr">
        <is>
          <t>Según permiso y regla; operaciones críticas requieren aprobación</t>
        </is>
      </c>
    </row>
    <row r="51" ht="36" customHeight="1">
      <c r="A51" s="7" t="inlineStr">
        <is>
          <t>Proponer referido</t>
        </is>
      </c>
      <c r="B51" s="14" t="inlineStr">
        <is>
          <t>POST</t>
        </is>
      </c>
      <c r="C51" s="14" t="inlineStr">
        <is>
          <t>/v1/aprobaciones</t>
        </is>
      </c>
      <c r="D51" s="14" t="inlineStr">
        <is>
          <t>CRM Marley Coffee Empresas (propuesto)</t>
        </is>
      </c>
      <c r="E51" s="14" t="inlineStr">
        <is>
          <t>Beneficio a revisión de jefatura</t>
        </is>
      </c>
      <c r="F51" s="8" t="inlineStr">
        <is>
          <t>Sí</t>
        </is>
      </c>
    </row>
    <row r="52" ht="23" customHeight="1"/>
    <row r="53" ht="36" customHeight="1">
      <c r="A53" s="50" t="inlineStr">
        <is>
          <t>Capa agéntica por área de la cadena de valor</t>
        </is>
      </c>
    </row>
    <row r="54" ht="30" customHeight="1">
      <c r="A54" s="4" t="inlineStr">
        <is>
          <t>Área</t>
        </is>
      </c>
      <c r="B54" s="4" t="inlineStr">
        <is>
          <t>Hoy (manual) *</t>
        </is>
      </c>
      <c r="C54" s="4" t="inlineStr">
        <is>
          <t>Agente</t>
        </is>
      </c>
      <c r="D54" s="4" t="inlineStr">
        <is>
          <t>Hace solo</t>
        </is>
      </c>
      <c r="E54" s="4" t="inlineStr">
        <is>
          <t>Decide una persona</t>
        </is>
      </c>
      <c r="F54" s="4" t="inlineStr">
        <is>
          <t>Sistemas</t>
        </is>
      </c>
      <c r="G54" s="4" t="inlineStr">
        <is>
          <t>KPI</t>
        </is>
      </c>
    </row>
    <row r="55" ht="49" customHeight="1">
      <c r="A55" s="5" t="inlineStr">
        <is>
          <t>Captar</t>
        </is>
      </c>
      <c r="B55" s="10" t="inlineStr">
        <is>
          <t>Formulario de 8 campos sin respuesta inmediata; búsqueda B2B sin ruta propia</t>
        </is>
      </c>
      <c r="C55" s="10" t="inlineStr">
        <is>
          <t>Marketing</t>
        </is>
      </c>
      <c r="D55" s="10" t="inlineStr">
        <is>
          <t>Registra origen y eventos; nutre a quien no avanza (W10)</t>
        </is>
      </c>
      <c r="E55" s="10" t="inlineStr">
        <is>
          <t>Marketing aprueba campañas y piezas</t>
        </is>
      </c>
      <c r="F55" s="10" t="inlineStr">
        <is>
          <t>Google Tag Manager y GA4, Connectif, CRM Marley Coffee Empresas (propuesto)</t>
        </is>
      </c>
      <c r="G55" s="6" t="inlineStr">
        <is>
          <t>K01–K03</t>
        </is>
      </c>
    </row>
    <row r="56" ht="36" customHeight="1">
      <c r="A56" s="5" t="inlineStr">
        <is>
          <t>Calificar</t>
        </is>
      </c>
      <c r="B56" s="10" t="inlineStr">
        <is>
          <t>CRM con 40 %* de fichas completas; sin puntaje ni zona</t>
        </is>
      </c>
      <c r="C56" s="10" t="inlineStr">
        <is>
          <t>Calificación y Orquestador</t>
        </is>
      </c>
      <c r="D56" s="10" t="inlineStr">
        <is>
          <t>Puntaje con zona; asigna la ejecutiva de la comuna</t>
        </is>
      </c>
      <c r="E56" s="10" t="inlineStr">
        <is>
          <t>La ejecutiva acepta el SQL</t>
        </is>
      </c>
      <c r="F56" s="10" t="inlineStr">
        <is>
          <t>CRM Marley Coffee Empresas (propuesto), CRM comercial actual</t>
        </is>
      </c>
      <c r="G56" s="6" t="inlineStr">
        <is>
          <t>K07, K08</t>
        </is>
      </c>
    </row>
    <row r="57" ht="62" customHeight="1">
      <c r="A57" s="5" t="inlineStr">
        <is>
          <t>Vender</t>
        </is>
      </c>
      <c r="B57" s="10" t="inlineStr">
        <is>
          <t>Contacto por correo o teléfono sin contexto ni plazo</t>
        </is>
      </c>
      <c r="C57" s="10" t="inlineStr">
        <is>
          <t>Ventas (arma la propuesta al instante) y bot de bienvenida</t>
        </is>
      </c>
      <c r="D57" s="10" t="inlineStr">
        <is>
          <t>Arma la propuesta con catálogo y stock; le sugiere a la ejecutiva qué ofrecer</t>
        </is>
      </c>
      <c r="E57" s="10" t="inlineStr">
        <is>
          <t>La ejecutiva confirma el precio real, resuelve dudas y cierra</t>
        </is>
      </c>
      <c r="F57" s="10" t="inlineStr">
        <is>
          <t>Chat consultivo, correo comercial y WhatsApp postventa entrante, VTEX IO (tienda actual), CRM Marley Coffee Empresas (propuesto)</t>
        </is>
      </c>
      <c r="G57" s="6" t="inlineStr">
        <is>
          <t>K04, K05, K09</t>
        </is>
      </c>
    </row>
    <row r="58" ht="36" customHeight="1">
      <c r="A58" s="5" t="inlineStr">
        <is>
          <t>Almacenar y preparar</t>
        </is>
      </c>
      <c r="B58" s="10" t="inlineStr">
        <is>
          <t>82 %* de las reposiciones por ejecutivo, correo o mensajería</t>
        </is>
      </c>
      <c r="C58" s="10" t="inlineStr">
        <is>
          <t>Logística</t>
        </is>
      </c>
      <c r="D58" s="10" t="inlineStr">
        <is>
          <t>Consulta inventario, reserva stock y crea el pedido</t>
        </is>
      </c>
      <c r="E58" s="10" t="inlineStr">
        <is>
          <t>Logística confirma lo que no calza</t>
        </is>
      </c>
      <c r="F58" s="10" t="inlineStr">
        <is>
          <t>VTEX IO (tienda actual), ERP de Marley Coffee</t>
        </is>
      </c>
      <c r="G58" s="6" t="inlineStr">
        <is>
          <t>K11, K18, K19</t>
        </is>
      </c>
    </row>
    <row r="59" ht="36" customHeight="1">
      <c r="A59" s="5" t="inlineStr">
        <is>
          <t>Distribuir</t>
        </is>
      </c>
      <c r="B59" s="10" t="inlineStr">
        <is>
          <t>48 h en la RM y 72 a 96 h en regiones; OTIF 92 %*</t>
        </is>
      </c>
      <c r="C59" s="10" t="inlineStr">
        <is>
          <t>Logística</t>
        </is>
      </c>
      <c r="D59" s="10" t="inlineStr">
        <is>
          <t>Propone ruta y día según la comuna</t>
        </is>
      </c>
      <c r="E59" s="10" t="inlineStr">
        <is>
          <t>Una persona promete la fecha</t>
        </is>
      </c>
      <c r="F59" s="10" t="inlineStr">
        <is>
          <t>Rutas propias y transporte por definir, ERP de Marley Coffee</t>
        </is>
      </c>
      <c r="G59" s="6" t="inlineStr">
        <is>
          <t>K16, K17, K20</t>
        </is>
      </c>
    </row>
    <row r="60" ht="62" customHeight="1">
      <c r="A60" s="5" t="inlineStr">
        <is>
          <t>Cobrar y facturar</t>
        </is>
      </c>
      <c r="B60" s="10" t="inlineStr">
        <is>
          <t>Checkout para personas: sin RUT, giro ni orden de compra</t>
        </is>
      </c>
      <c r="C60" s="10" t="inlineStr">
        <is>
          <t>Orquestador (avisa a Finanzas)</t>
        </is>
      </c>
      <c r="D60" s="10" t="inlineStr">
        <is>
          <t>Arma el alta con RUT y giro; emite la factura al despachar</t>
        </is>
      </c>
      <c r="E60" s="10" t="inlineStr">
        <is>
          <t>Finanzas valida la condición de pago vigente</t>
        </is>
      </c>
      <c r="F60" s="10" t="inlineStr">
        <is>
          <t>VTEX IO (tienda actual), Mercado Pago y Webpay, ERP de Marley Coffee, Facturación desde el ERP</t>
        </is>
      </c>
      <c r="G60" s="6" t="inlineStr">
        <is>
          <t>K25, K26</t>
        </is>
      </c>
    </row>
    <row r="61" ht="49" customHeight="1">
      <c r="A61" s="7" t="inlineStr">
        <is>
          <t>Postventa y recompra</t>
        </is>
      </c>
      <c r="B61" s="14" t="inlineStr">
        <is>
          <t>Retención 86 %*; reclamos por falta de visibilidad del pedido y fallas</t>
        </is>
      </c>
      <c r="C61" s="14" t="inlineStr">
        <is>
          <t>Postventa</t>
        </is>
      </c>
      <c r="D61" s="14" t="inlineStr">
        <is>
          <t>Sugiere recompra por frecuencia, avisa (LM5) y propone referidos</t>
        </is>
      </c>
      <c r="E61" s="14" t="inlineStr">
        <is>
          <t>El ejecutivo de cuenta y la jefatura deciden</t>
        </is>
      </c>
      <c r="F61" s="14" t="inlineStr">
        <is>
          <t>Atención e incidencias, CRM Marley Coffee Empresas (propuesto), VTEX IO (tienda actual)</t>
        </is>
      </c>
      <c r="G61" s="8" t="inlineStr">
        <is>
          <t>K12, K15, K21, K27</t>
        </is>
      </c>
    </row>
    <row r="62" ht="23" customHeight="1"/>
    <row r="63" ht="127" customHeight="1">
      <c r="A63" s="20" t="inlineStr">
        <is>
          <t>* Supuestos académicos del caso [3] y diagnóstico del equipo (ago. 2026). Las APIs de VTEX, Mercado Pago y Webpay están documentadas públicamente (developers.vtex.com, mercadopago.cl/developers, transbankdevelopers.cl; consulta 10-10-2026).</t>
        </is>
      </c>
    </row>
  </sheetData>
  <mergeCells count="1">
    <mergeCell ref="A2:G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3F3F40"/>
    <outlinePr summaryBelow="1" summaryRight="1"/>
    <pageSetUpPr fitToPage="1"/>
  </sheetPr>
  <dimension ref="A1:K37"/>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44" customWidth="1" min="5" max="5"/>
    <col width="10" customWidth="1" min="6" max="6"/>
    <col width="22" customWidth="1" min="7" max="7"/>
    <col width="36" customWidth="1" min="8" max="8"/>
    <col width="22" customWidth="1" min="9" max="9"/>
    <col width="14" customWidth="1" min="10" max="10"/>
    <col width="30" customWidth="1" min="11" max="11"/>
  </cols>
  <sheetData>
    <row r="1" ht="28" customHeight="1">
      <c r="A1" s="1" t="inlineStr">
        <is>
          <t>Blueprint de inbound automatizado y contenido segmentado</t>
        </is>
      </c>
      <c r="B1" s="2" t="n"/>
      <c r="C1" s="2" t="n"/>
      <c r="D1" s="2" t="n"/>
      <c r="E1" s="2" t="n"/>
      <c r="F1" s="2" t="n"/>
      <c r="G1" s="2" t="n"/>
      <c r="H1" s="2" t="n"/>
      <c r="I1" s="2" t="n"/>
      <c r="J1" s="2" t="n"/>
      <c r="K1" s="2" t="n"/>
    </row>
    <row r="2" ht="16" customHeight="1">
      <c r="A2" s="3" t="inlineStr">
        <is>
          <t>Etapa del funnel → segmento → pieza audiovisual o gráfica → lead magnet → canal → gatillador y workflow (hoja 05) → agente → KPI (hoja 04). Diagrama en el Anexo D (flujo 6).</t>
        </is>
      </c>
    </row>
    <row r="3"/>
    <row r="4" ht="30" customHeight="1">
      <c r="A4" s="4" t="inlineStr">
        <is>
          <t>Flywheel</t>
        </is>
      </c>
      <c r="B4" s="4" t="inlineStr">
        <is>
          <t>Etapa del embudo</t>
        </is>
      </c>
      <c r="C4" s="4" t="inlineStr">
        <is>
          <t>Objetivo</t>
        </is>
      </c>
      <c r="D4" s="4" t="inlineStr">
        <is>
          <t>Segmento</t>
        </is>
      </c>
      <c r="E4" s="4" t="inlineStr">
        <is>
          <t>Pieza (audiovisual o gráfica)</t>
        </is>
      </c>
      <c r="F4" s="4" t="inlineStr">
        <is>
          <t>Lead magnet</t>
        </is>
      </c>
      <c r="G4" s="4" t="inlineStr">
        <is>
          <t>Canal</t>
        </is>
      </c>
      <c r="H4" s="4" t="inlineStr">
        <is>
          <t>Gatillador y workflow</t>
        </is>
      </c>
      <c r="I4" s="4" t="inlineStr">
        <is>
          <t>Agente</t>
        </is>
      </c>
      <c r="J4" s="4" t="inlineStr">
        <is>
          <t>KPI</t>
        </is>
      </c>
      <c r="K4" s="4" t="inlineStr">
        <is>
          <t>Puntaje que suma (acumulado)</t>
        </is>
      </c>
    </row>
    <row r="5">
      <c r="A5" s="5" t="inlineStr">
        <is>
          <t>Atraer</t>
        </is>
      </c>
      <c r="B5" s="10" t="inlineStr">
        <is>
          <t>Descubrimiento</t>
        </is>
      </c>
      <c r="C5" s="10" t="inlineStr">
        <is>
          <t>Atraer intención profesional</t>
        </is>
      </c>
      <c r="D5" s="10" t="inlineStr">
        <is>
          <t>Tipo de negocio × zona</t>
        </is>
      </c>
      <c r="E5" s="10" t="inlineStr">
        <is>
          <t>Páginas Empresas por negocio con H1 y H2 por intención; contenido orgánico por tipo de negocio para Instagram y LinkedIn; anuncios de búsqueda por intención</t>
        </is>
      </c>
      <c r="F5" s="10" t="inlineStr">
        <is>
          <t>—</t>
        </is>
      </c>
      <c r="G5" s="10" t="inlineStr">
        <is>
          <t>SEO y Search Console, redes sociales orgánicas, SEM por intención y AEO</t>
        </is>
      </c>
      <c r="H5" s="10" t="inlineStr">
        <is>
          <t>Visita con UTM → registro de origen</t>
        </is>
      </c>
      <c r="I5" s="10" t="inlineStr">
        <is>
          <t>Marketing</t>
        </is>
      </c>
      <c r="J5" s="10" t="inlineStr">
        <is>
          <t>K01</t>
        </is>
      </c>
      <c r="K5" s="6" t="inlineStr">
        <is>
          <t>0 (solo origen UTM)</t>
        </is>
      </c>
    </row>
    <row r="6">
      <c r="A6" s="5" t="inlineStr">
        <is>
          <t>Atraer</t>
        </is>
      </c>
      <c r="B6" s="10" t="inlineStr">
        <is>
          <t>Exploración</t>
        </is>
      </c>
      <c r="C6" s="10" t="inlineStr">
        <is>
          <t>Imaginar la solución en su local</t>
        </is>
      </c>
      <c r="D6" s="10" t="inlineStr">
        <is>
          <t>Por tipo de negocio</t>
        </is>
      </c>
      <c r="E6" s="10" t="str">
        <v>Home con valor, proceso y productos (C02); catálogo cotizador (C10) → máquinas y comodato (C11) → contacto y diagnóstico. Casos como apoyo (C08).</v>
      </c>
      <c r="F6" s="10" t="inlineStr">
        <is>
          <t>LM1</t>
        </is>
      </c>
      <c r="G6" s="10" t="inlineStr">
        <is>
          <t>Sitio Empresas</t>
        </is>
      </c>
      <c r="H6" s="10" t="str">
        <v>Exploración C10 → C11; sin puntos por artículos, cantidades ni permiso implícito. Iniciar cotización conserva el evento existente, sin duplicarlo.</v>
      </c>
      <c r="I6" s="10" t="inlineStr">
        <is>
          <t>Marketing</t>
        </is>
      </c>
      <c r="J6" s="10" t="inlineStr">
        <is>
          <t>K01, K03</t>
        </is>
      </c>
      <c r="K6" s="6" t="str">
        <v>Evento de cotización existente +10 una sola vez; explorar/agregar productos no suma puntos adicionales.</v>
      </c>
    </row>
    <row r="7">
      <c r="A7" s="5" t="inlineStr">
        <is>
          <t>Interactuar</t>
        </is>
      </c>
      <c r="B7" s="10" t="inlineStr">
        <is>
          <t>Identificación</t>
        </is>
      </c>
      <c r="C7" s="10" t="inlineStr">
        <is>
          <t>Dejar contacto con permiso</t>
        </is>
      </c>
      <c r="D7" s="10" t="inlineStr">
        <is>
          <t>Todos</t>
        </is>
      </c>
      <c r="E7" s="10" t="inlineStr">
        <is>
          <t>Formulario al principio (nombre y correo, teléfono opcional y permiso); correo con N.º de seguimiento; si abandona, correo a las 24 h y remarketing autorizado</t>
        </is>
      </c>
      <c r="F7" s="10" t="inlineStr">
        <is>
          <t>LM2</t>
        </is>
      </c>
      <c r="G7" s="10" t="inlineStr">
        <is>
          <t>Sitio y correo</t>
        </is>
      </c>
      <c r="H7" s="10" t="inlineStr">
        <is>
          <t>W1 al dejar correo con permiso; W4 si no termina en 24 h</t>
        </is>
      </c>
      <c r="I7" s="10" t="inlineStr">
        <is>
          <t>Calificación</t>
        </is>
      </c>
      <c r="J7" s="10" t="inlineStr">
        <is>
          <t>K02</t>
        </is>
      </c>
      <c r="K7" s="6" t="inlineStr">
        <is>
          <t>+20 → 30 (identificado: correo con permiso)</t>
        </is>
      </c>
    </row>
    <row r="8">
      <c r="A8" s="5" t="inlineStr">
        <is>
          <t>Interactuar</t>
        </is>
      </c>
      <c r="B8" s="10" t="inlineStr">
        <is>
          <t>Evaluación</t>
        </is>
      </c>
      <c r="C8" s="10" t="inlineStr">
        <is>
          <t>Recomendar y calificar</t>
        </is>
      </c>
      <c r="D8" s="10" t="inlineStr">
        <is>
          <t>Negocio × zona × banda de puntaje</t>
        </is>
      </c>
      <c r="E8" s="10" t="str">
        <v>Diagnóstico de3capas; propuesta con equipo en comodato, selección de productos y consumo orientativo. Carga inicial y reposición por cotizar separadas; complementos opcionales.</v>
      </c>
      <c r="F8" s="10" t="inlineStr">
        <is>
          <t>LM3</t>
        </is>
      </c>
      <c r="G8" s="10" t="inlineStr">
        <is>
          <t>Sitio Empresas y remarketing (Google y Meta)</t>
        </is>
      </c>
      <c r="H8" s="10" t="inlineStr">
        <is>
          <t>W2 al ver la propuesta; W4 a las 24 h si no la acepta; W10 a los 3, 7 y 14 días</t>
        </is>
      </c>
      <c r="I8" s="10" t="inlineStr">
        <is>
          <t>Ventas (IA) y Calificación</t>
        </is>
      </c>
      <c r="J8" s="10" t="inlineStr">
        <is>
          <t>K03, K07</t>
        </is>
      </c>
      <c r="K8" s="6" t="inlineStr">
        <is>
          <t>+5 +4 +10 +5 → 54 (MQL ≥ 40); +4 +4 → 62; ve su propuesta +8 → 70</t>
        </is>
      </c>
    </row>
    <row r="9">
      <c r="A9" s="5" t="inlineStr">
        <is>
          <t>Interactuar</t>
        </is>
      </c>
      <c r="B9" s="10" t="inlineStr">
        <is>
          <t>Conversión</t>
        </is>
      </c>
      <c r="C9" s="10" t="inlineStr">
        <is>
          <t>Aceptar o hablar con una persona</t>
        </is>
      </c>
      <c r="D9" s="10" t="inlineStr">
        <is>
          <t>MQL por zona</t>
        </is>
      </c>
      <c r="E9" s="10" t="inlineStr">
        <is>
          <t>Revisar el resumen y solicitar propuesta por correo; el chat resuelve dudas y la ejecutiva confirma condiciones por correo</t>
        </is>
      </c>
      <c r="F9" s="10" t="inlineStr">
        <is>
          <t>LM4</t>
        </is>
      </c>
      <c r="G9" s="10" t="inlineStr">
        <is>
          <t>Chat web y correo comercial</t>
        </is>
      </c>
      <c r="H9" s="10" t="inlineStr">
        <is>
          <t>W3 al aceptar o elegir canal; W5 a las 72 h; W6 pausa al responder</t>
        </is>
      </c>
      <c r="I9" s="10" t="inlineStr">
        <is>
          <t>Ventas (IA), ejecutiva y bot</t>
        </is>
      </c>
      <c r="J9" s="10" t="inlineStr">
        <is>
          <t>K04, K05, K08, K09</t>
        </is>
      </c>
      <c r="K9" s="6" t="inlineStr">
        <is>
          <t>Acepta +15 o pide hablar +3 +12; portal +8 → 93; ampliada +12 → 100 (tope); SQL lo acepta una persona</t>
        </is>
      </c>
    </row>
    <row r="10">
      <c r="A10" s="5" t="inlineStr">
        <is>
          <t>Deleitar</t>
        </is>
      </c>
      <c r="B10" s="10" t="inlineStr">
        <is>
          <t>Recompra y expansión</t>
        </is>
      </c>
      <c r="C10" s="10" t="inlineStr">
        <is>
          <t>Repetir y escalar</t>
        </is>
      </c>
      <c r="D10" s="10" t="inlineStr">
        <is>
          <t>Cliente activo por frecuencia</t>
        </is>
      </c>
      <c r="E10" s="10" t="inlineStr">
        <is>
          <t>Aviso de reposición; servicios con foto y rango (Coffee Experience, catering, POP, capacitación)</t>
        </is>
      </c>
      <c r="F10" s="10" t="inlineStr">
        <is>
          <t>LM5, LM6</t>
        </is>
      </c>
      <c r="G10" s="10" t="inlineStr">
        <is>
          <t>Mi cuenta, correo y encuesta de satisfacción</t>
        </is>
      </c>
      <c r="H10" s="10" t="inlineStr">
        <is>
          <t>W7 según su frecuencia; W9 pausa ante incidencia</t>
        </is>
      </c>
      <c r="I10" s="10" t="inlineStr">
        <is>
          <t>Postventa y Logística</t>
        </is>
      </c>
      <c r="J10" s="10" t="inlineStr">
        <is>
          <t>K11, K12, K27</t>
        </is>
      </c>
      <c r="K10" s="6" t="inlineStr">
        <is>
          <t>Financial: frecuencia 25 % y amplitud 10 %</t>
        </is>
      </c>
    </row>
    <row r="11">
      <c r="A11" s="7" t="inlineStr">
        <is>
          <t>Deleitar</t>
        </is>
      </c>
      <c r="B11" s="14" t="inlineStr">
        <is>
          <t>Referido</t>
        </is>
      </c>
      <c r="C11" s="14" t="inlineStr">
        <is>
          <t>Recomendar</t>
        </is>
      </c>
      <c r="D11" s="14" t="inlineStr">
        <is>
          <t>Frecuente con Financial ≥ 70</t>
        </is>
      </c>
      <c r="E11" s="14" t="inlineStr">
        <is>
          <t>Invitación con código y beneficio experiencial; tazas, POP y Coffee Experience para recordación</t>
        </is>
      </c>
      <c r="F11" s="14" t="inlineStr">
        <is>
          <t>LM7</t>
        </is>
      </c>
      <c r="G11" s="14" t="inlineStr">
        <is>
          <t>Mi cuenta y activaciones de marca</t>
        </is>
      </c>
      <c r="H11" s="14" t="inlineStr">
        <is>
          <t>W8 cliente frecuente sin incidencia</t>
        </is>
      </c>
      <c r="I11" s="14" t="inlineStr">
        <is>
          <t>Postventa y Marketing</t>
        </is>
      </c>
      <c r="J11" s="14" t="inlineStr">
        <is>
          <t>K15</t>
        </is>
      </c>
      <c r="K11" s="8" t="inlineStr">
        <is>
          <t>Origen «Referido»</t>
        </is>
      </c>
    </row>
    <row r="12"/>
    <row r="13">
      <c r="A13" s="50" t="inlineStr">
        <is>
          <t>Contenido segmentado por tipo de negocio</t>
        </is>
      </c>
    </row>
    <row r="14" ht="30" customHeight="1">
      <c r="A14" s="4" t="inlineStr">
        <is>
          <t>Negocio</t>
        </is>
      </c>
      <c r="B14" s="4" t="inlineStr">
        <is>
          <t>Exploración (pieza)</t>
        </is>
      </c>
      <c r="C14" s="4" t="inlineStr">
        <is>
          <t>Evaluación: LM3 muestra</t>
        </is>
      </c>
      <c r="D14" s="4" t="inlineStr">
        <is>
          <t>Conversión y expansión: LM4 / LM6 ofrecen primero</t>
        </is>
      </c>
      <c r="E14" s="4" t="inlineStr">
        <is>
          <t>Nutrición W10 (A/B: guía + video; C/R: guía + cobertura)</t>
        </is>
      </c>
    </row>
    <row r="15">
      <c r="A15" s="5" t="inlineStr">
        <is>
          <t>Hotel</t>
        </is>
      </c>
      <c r="B15" s="10" t="inlineStr">
        <is>
          <t>Video caso hotel: desayuno, habitaciones y lobby</t>
        </is>
      </c>
      <c r="C15" s="10" t="inlineStr">
        <is>
          <t>Bar para el desayuno, Pods en las habitaciones y tazas de la marca para el lobby</t>
        </is>
      </c>
      <c r="D15" s="10" t="inlineStr">
        <is>
          <t>Tazas y accesorios de la marca, Material de marca para tu local, Coffee Experience para eventos</t>
        </is>
      </c>
      <c r="E15" s="6" t="inlineStr">
        <is>
          <t>Guía para el desayuno y las habitaciones</t>
        </is>
      </c>
    </row>
    <row r="16">
      <c r="A16" s="5" t="inlineStr">
        <is>
          <t>Restaurante</t>
        </is>
      </c>
      <c r="B16" s="10" t="inlineStr">
        <is>
          <t>Video caso restaurante: espresso de sobremesa</t>
        </is>
      </c>
      <c r="C16" s="10" t="inlineStr">
        <is>
          <t>espresso de sobremesa con grano o molido y la taza de la marca en cada mesa</t>
        </is>
      </c>
      <c r="D16" s="10" t="inlineStr">
        <is>
          <t>Tazas y accesorios de la marca, Material de marca para tu local, Catering con la marca</t>
        </is>
      </c>
      <c r="E16" s="6" t="inlineStr">
        <is>
          <t>Guía del espresso de sobremesa</t>
        </is>
      </c>
    </row>
    <row r="17">
      <c r="A17" s="5" t="inlineStr">
        <is>
          <t>Cafetería</t>
        </is>
      </c>
      <c r="B17" s="10" t="inlineStr">
        <is>
          <t>Escena cafetería (C08) y comparador de grano</t>
        </is>
      </c>
      <c r="C17" s="10" t="inlineStr">
        <is>
          <t>café en grano para la barra y variedad de preparaciones</t>
        </is>
      </c>
      <c r="D17" s="10" t="inlineStr">
        <is>
          <t>Capacitación de barista, Material de marca para tu local, Punto de activación</t>
        </is>
      </c>
      <c r="E17" s="6" t="inlineStr">
        <is>
          <t>Guía de barra con barista</t>
        </is>
      </c>
    </row>
    <row r="18">
      <c r="A18" s="7" t="inlineStr">
        <is>
          <t>Eventos o catering</t>
        </is>
      </c>
      <c r="B18" s="14" t="inlineStr">
        <is>
          <t>Escena eventos (C08) y activación real con Hard Rock Café (2025)</t>
        </is>
      </c>
      <c r="C18" s="14" t="inlineStr">
        <is>
          <t>Coffee Experience con barra y barista, o Café al paso para volumen alto</t>
        </is>
      </c>
      <c r="D18" s="14" t="inlineStr">
        <is>
          <t>Punto de activación, Material de marca para tu local, Catering con la marca</t>
        </is>
      </c>
      <c r="E18" s="8" t="inlineStr">
        <is>
          <t>Guía de volumen alto en pocas horas</t>
        </is>
      </c>
    </row>
    <row r="19"/>
    <row r="20">
      <c r="A20" s="50" t="inlineStr">
        <is>
          <t>Tácticas por etapa del flywheel (el inbound es un todo: cada etapa combina varias tácticas y cada una se mide)</t>
        </is>
      </c>
    </row>
    <row r="21" ht="30" customHeight="1">
      <c r="A21" s="4" t="inlineStr">
        <is>
          <t>Etapa del flywheel</t>
        </is>
      </c>
      <c r="B21" s="4" t="inlineStr">
        <is>
          <t>Táctica</t>
        </is>
      </c>
      <c r="C21" s="4" t="inlineStr">
        <is>
          <t>Qué se hace</t>
        </is>
      </c>
      <c r="D21" s="4" t="inlineStr">
        <is>
          <t>Cómo se mide</t>
        </is>
      </c>
    </row>
    <row r="22">
      <c r="A22" s="5" t="inlineStr">
        <is>
          <t>Atraer</t>
        </is>
      </c>
      <c r="B22" s="10" t="inlineStr">
        <is>
          <t>SEO desde el día cero</t>
        </is>
      </c>
      <c r="C22" s="10" t="str">
        <v>Palabras clave definidas por buyer persona (gerente de A&amp;B de hotel, dueño de restaurante o cafetería, productor de eventos): «café para empresas», «máquina de café para hotel», «máquina de café en comodato», «coffee break para empresas». Una página por intención con H1 y H2 que responden la búsqueda.</v>
      </c>
      <c r="D22" s="6" t="inlineStr">
        <is>
          <t>Impresiones, clics y posición por consulta · K01</t>
        </is>
      </c>
    </row>
    <row r="23">
      <c r="A23" s="5" t="inlineStr">
        <is>
          <t>Atraer</t>
        </is>
      </c>
      <c r="B23" s="10" t="inlineStr">
        <is>
          <t>Indexación con Google Search Console</t>
        </is>
      </c>
      <c r="C23" s="10" t="inlineStr">
        <is>
          <t>Verificar la propiedad /empresas, enviar un sitemap correcto (el actual tiene errores, hallazgo del diagnóstico), revisar cobertura e indexación, rendimiento por consulta y Core Web Vitals.</t>
        </is>
      </c>
      <c r="D23" s="6" t="inlineStr">
        <is>
          <t>Páginas indexadas y errores de cobertura</t>
        </is>
      </c>
    </row>
    <row r="24">
      <c r="A24" s="5" t="inlineStr">
        <is>
          <t>Atraer</t>
        </is>
      </c>
      <c r="B24" s="10" t="inlineStr">
        <is>
          <t>Contenido orgánico en redes</t>
        </is>
      </c>
      <c r="C24" s="10" t="inlineStr">
        <is>
          <t>Instagram y LinkedIn por tipo de negocio: clips de cada escena (hotel, restaurante, cafetería, evento), casos y activaciones; cada pieza lleva UTM al sitio Empresas.</t>
        </is>
      </c>
      <c r="D24" s="6" t="inlineStr">
        <is>
          <t>Alcance, guardados y clics con UTM · K01</t>
        </is>
      </c>
    </row>
    <row r="25">
      <c r="A25" s="5" t="inlineStr">
        <is>
          <t>Atraer</t>
        </is>
      </c>
      <c r="B25" s="10" t="inlineStr">
        <is>
          <t>SEM por intención profesional</t>
        </is>
      </c>
      <c r="C25" s="10" t="inlineStr">
        <is>
          <t>Búsqueda pagada con las mismas palabras clave, anuncios por tipo de negocio y página de destino por intención; palabras negativas para no pagar búsquedas de consumo personal (hoy el gasto se concentra en B2C, hallazgo).</t>
        </is>
      </c>
      <c r="D25" s="6" t="inlineStr">
        <is>
          <t>Costo por clic, costo por contacto y tasa a «Ver mi solución»</t>
        </is>
      </c>
    </row>
    <row r="26">
      <c r="A26" s="5" t="inlineStr">
        <is>
          <t>Atraer</t>
        </is>
      </c>
      <c r="B26" s="10" t="inlineStr">
        <is>
          <t>AEO: respuestas para buscadores e IA</t>
        </is>
      </c>
      <c r="C26" s="10" t="inlineStr">
        <is>
          <t>Preguntas frecuentes con la respuesta primero y datos estructurados (FAQPage, Product, Organization) para que los buscadores y los asistentes de IA citen el sitio.</t>
        </is>
      </c>
      <c r="D26" s="6" t="inlineStr">
        <is>
          <t>Set fijo de preguntas medido por fecha</t>
        </is>
      </c>
    </row>
    <row r="27">
      <c r="A27" s="5" t="inlineStr">
        <is>
          <t>Interactuar</t>
        </is>
      </c>
      <c r="B27" s="10" t="inlineStr">
        <is>
          <t>Correos automáticos y nutrición</t>
        </is>
      </c>
      <c r="C27" s="10" t="inlineStr">
        <is>
          <t>N.º de seguimiento al dejar su correo al principio (W1), propuesta por correo apenas el agente la arma (W2), aviso a las 24 h si abandona el diagnóstico o no acepta (W4) y nutrición a los 3, 7 y 14 días según negocio y zona (W10).</t>
        </is>
      </c>
      <c r="D27" s="6" t="inlineStr">
        <is>
          <t>Apertura, clics · K02, K03</t>
        </is>
      </c>
    </row>
    <row r="28">
      <c r="A28" s="5" t="inlineStr">
        <is>
          <t>Interactuar</t>
        </is>
      </c>
      <c r="B28" s="10" t="inlineStr">
        <is>
          <t>Contenido personalizado</t>
        </is>
      </c>
      <c r="C28" s="10" t="inlineStr">
        <is>
          <t>Lo de su negocio y nada más: soluciones por momento del día, propuesta al instante con máquina, café al mes y precio, y extras recomendados para su tipo de negocio.</t>
        </is>
      </c>
      <c r="D28" s="6" t="inlineStr">
        <is>
          <t>Diagnóstico completo y MQL · K03, K07</t>
        </is>
      </c>
    </row>
    <row r="29">
      <c r="A29" s="5" t="inlineStr">
        <is>
          <t>Interactuar</t>
        </is>
      </c>
      <c r="B29" s="10" t="inlineStr">
        <is>
          <t>Mensajes personalizados</t>
        </is>
      </c>
      <c r="C29" s="10" t="inlineStr">
        <is>
          <t>El chat web resuelve dudas y prepara el resumen. La ejecutiva recibe lo cotizado y responde por correo con las condiciones revisadas.</t>
        </is>
      </c>
      <c r="D29" s="6" t="inlineStr">
        <is>
          <t>Pedido de contacto y primera respuesta · K04, K05, K06</t>
        </is>
      </c>
    </row>
    <row r="30">
      <c r="A30" s="5" t="inlineStr">
        <is>
          <t>Interactuar</t>
        </is>
      </c>
      <c r="B30" s="10" t="inlineStr">
        <is>
          <t>Remarketing</t>
        </is>
      </c>
      <c r="C30" s="10" t="inlineStr">
        <is>
          <t>Audiencias autorizadas de quienes dejaron el diagnóstico a medias (Google y Meta); recuperación por correo. Se pausa con atención humana activa (W6); sin WhatsApp comercial.</t>
        </is>
      </c>
      <c r="D30" s="6" t="inlineStr">
        <is>
          <t>Regreso al portal y diagnósticos retomados · K03</t>
        </is>
      </c>
    </row>
    <row r="31">
      <c r="A31" s="5" t="inlineStr">
        <is>
          <t>Interactuar</t>
        </is>
      </c>
      <c r="B31" s="10" t="inlineStr">
        <is>
          <t>Activaciones en puntos</t>
        </is>
      </c>
      <c r="C31" s="10" t="inlineStr">
        <is>
          <t>Degustaciones y barra de marca en hoteles, restaurantes y eventos (como Hard Rock Café, 2025) con un código o QR al sitio Empresas.</t>
        </is>
      </c>
      <c r="D31" s="6" t="inlineStr">
        <is>
          <t>Contactos con origen «Activación»</t>
        </is>
      </c>
    </row>
    <row r="32">
      <c r="A32" s="5" t="inlineStr">
        <is>
          <t>Interactuar</t>
        </is>
      </c>
      <c r="B32" s="10" t="inlineStr">
        <is>
          <t>Experiencia UX externa e interna</t>
        </is>
      </c>
      <c r="C32" s="10" t="inlineStr">
        <is>
          <t>Afuera: máquinas primero, datos básicos al principio para no perder a quien abandona, 3 pasos ya sugeridos, propuesta al instante y ajustes al instante. Adentro: CRM por rol con lo que cotizó el cliente y la propuesta sugerida por el agente. Validado con 5 usuarios (15-10) y por medir en una segunda ronda.</t>
        </is>
      </c>
      <c r="D32" s="6" t="inlineStr">
        <is>
          <t>Éxito de tarea, facilidad y SUS · K22, K23, K24</t>
        </is>
      </c>
    </row>
    <row r="33">
      <c r="A33" s="5" t="inlineStr">
        <is>
          <t>Deleitar</t>
        </is>
      </c>
      <c r="B33" s="10" t="inlineStr">
        <is>
          <t>Programa de referidos</t>
        </is>
      </c>
      <c r="C33" s="10" t="inlineStr">
        <is>
          <t>Código con beneficio experiencial (LM7) para clientes frecuentes sin incidencias; el referido llega con origen propio al CRM.</t>
        </is>
      </c>
      <c r="D33" s="6" t="inlineStr">
        <is>
          <t>Referidos convertidos · K15</t>
        </is>
      </c>
    </row>
    <row r="34">
      <c r="A34" s="5" t="inlineStr">
        <is>
          <t>Deleitar</t>
        </is>
      </c>
      <c r="B34" s="10" t="inlineStr">
        <is>
          <t>Mejorar la experiencia de servicio</t>
        </is>
      </c>
      <c r="C34" s="10" t="inlineStr">
        <is>
          <t>Reposición digital con aviso antes de quedarse sin café (LM5), seguimiento del pedido, mantención y postventa con respuesta rápida.</t>
        </is>
      </c>
      <c r="D34" s="6" t="inlineStr">
        <is>
          <t>Reposición digital, frecuencia, OTIF y postventa · K11, K12, K16, K21</t>
        </is>
      </c>
    </row>
    <row r="35">
      <c r="A35" s="5" t="inlineStr">
        <is>
          <t>Deleitar</t>
        </is>
      </c>
      <c r="B35" s="10" t="inlineStr">
        <is>
          <t>Mensajes de seguimiento y satisfacción</t>
        </is>
      </c>
      <c r="C35" s="10" t="inlineStr">
        <is>
          <t>Encuesta corta después de la instalación y de cada incidencia, con respuesta de una persona; agradecimiento y contenido útil para el equipo del cliente.</t>
        </is>
      </c>
      <c r="D35" s="6" t="inlineStr">
        <is>
          <t>Satisfacción y retención · K27</t>
        </is>
      </c>
    </row>
    <row r="36">
      <c r="A36" s="5" t="inlineStr">
        <is>
          <t>Deleitar</t>
        </is>
      </c>
      <c r="B36" s="10" t="inlineStr">
        <is>
          <t>Recordación de marca</t>
        </is>
      </c>
      <c r="C36" s="10" t="inlineStr">
        <is>
          <t>Tazas, material POP y Coffee Experience en el local del cliente; capacitación de baristas; piezas que el cliente puede compartir.</t>
        </is>
      </c>
      <c r="D36" s="6" t="inlineStr">
        <is>
          <t>Ticket y clientes activos · K13, K14</t>
        </is>
      </c>
    </row>
    <row r="37">
      <c r="A37" s="7" t="inlineStr">
        <is>
          <t>Deleitar</t>
        </is>
      </c>
      <c r="B37" s="14" t="inlineStr">
        <is>
          <t>Ramificación</t>
        </is>
      </c>
      <c r="C37" s="14" t="inlineStr">
        <is>
          <t>Sumar sucursales y servicios (LM6: eventos, catering, activaciones) y casos con permiso que vuelven a atraer: el ciclo se acelera.</t>
        </is>
      </c>
      <c r="D37" s="8" t="inlineStr">
        <is>
          <t>Ticket y NRR · K13, K27</t>
        </is>
      </c>
    </row>
  </sheetData>
  <mergeCells count="1">
    <mergeCell ref="A2:K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0.xml><?xml version="1.0" encoding="utf-8"?>
<worksheet xmlns="http://schemas.openxmlformats.org/spreadsheetml/2006/main">
  <sheetPr>
    <tabColor rgb="00F7BE00"/>
    <outlinePr summaryBelow="1" summaryRight="1"/>
    <pageSetUpPr fitToPage="1"/>
  </sheetPr>
  <dimension ref="A1:K51"/>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30" customWidth="1" min="2" max="2"/>
    <col width="28" customWidth="1" min="3" max="3"/>
    <col width="32" customWidth="1" min="4" max="4"/>
    <col width="16" customWidth="1" min="5" max="5"/>
    <col width="28" customWidth="1" min="6" max="6"/>
    <col width="26" customWidth="1" min="7" max="7"/>
    <col width="18" customWidth="1" min="8" max="8"/>
    <col width="18" customWidth="1" min="9" max="9"/>
    <col width="18" customWidth="1" min="10" max="10"/>
    <col width="18" customWidth="1" min="11" max="11"/>
  </cols>
  <sheetData>
    <row r="1" ht="28" customHeight="1">
      <c r="A1" s="1" t="str">
        <v>Comodato: carga inicial confirmada y consumo orientativo</v>
      </c>
      <c r="B1" s="2" t="n"/>
      <c r="C1" s="2" t="n"/>
      <c r="D1" s="2" t="n"/>
      <c r="E1" s="2" t="n"/>
      <c r="F1" s="2" t="n"/>
      <c r="G1" s="2" t="n"/>
      <c r="H1" s="2" t="n"/>
      <c r="I1" s="2" t="n"/>
      <c r="J1" s="2" t="n"/>
      <c r="K1" s="2" t="n"/>
    </row>
    <row r="2" ht="16" customHeight="1">
      <c r="A2" s="3" t="str">
        <v>Actualización19oct2026: correo y presupuesto del ejecutivo aportados por Carlos Vargas. No existe oferta de compra/arriendo de máquina. Los cuatro tipos del sitio son referencias; el correo menciona tres modelos sin identificar. No hay tarifa mensual ni mínimo confirmados.</v>
      </c>
    </row>
    <row r="3"/>
    <row r="4" ht="49" customHeight="1">
      <c r="A4" s="4" t="inlineStr">
        <is>
          <t>ID</t>
        </is>
      </c>
      <c r="B4" s="4" t="inlineStr">
        <is>
          <t>Máquina</t>
        </is>
      </c>
      <c r="C4" s="4" t="inlineStr">
        <is>
          <t>Tipo</t>
        </is>
      </c>
      <c r="D4" s="4" t="inlineStr">
        <is>
          <t>Para</t>
        </is>
      </c>
      <c r="E4" s="4" t="inlineStr">
        <is>
          <t>Tazas al día</t>
        </is>
      </c>
      <c r="F4" s="4" t="inlineStr">
        <is>
          <t>Formato</t>
        </is>
      </c>
      <c r="G4" s="4" t="inlineStr">
        <is>
          <t>Personal</t>
        </is>
      </c>
      <c r="H4" s="4" t="str">
        <v>Régimen del equipo</v>
      </c>
      <c r="I4" s="4" t="str">
        <v>Disponibilidad</v>
      </c>
      <c r="J4" s="4" t="str">
        <v>Tarifa del equipo</v>
      </c>
      <c r="K4" s="4" t="str">
        <v>Validación</v>
      </c>
    </row>
    <row r="5" ht="36" customHeight="1">
      <c r="A5" s="5" t="inlineStr">
        <is>
          <t>bar</t>
        </is>
      </c>
      <c r="B5" s="10" t="inlineStr">
        <is>
          <t>Bar</t>
        </is>
      </c>
      <c r="C5" s="10" t="inlineStr">
        <is>
          <t>Espresso profesional con molinillo</t>
        </is>
      </c>
      <c r="D5" s="10" t="inlineStr">
        <is>
          <t>Cafetería, Restaurante, Hotel</t>
        </is>
      </c>
      <c r="E5" s="10" t="inlineStr">
        <is>
          <t>100 a 400 tazas al día</t>
        </is>
      </c>
      <c r="F5" s="10" t="inlineStr">
        <is>
          <t>Café en grano</t>
        </is>
      </c>
      <c r="G5" s="10" t="inlineStr">
        <is>
          <t>Con barista (capacitación a confirmar)</t>
        </is>
      </c>
      <c r="H5" s="60" t="str">
        <v>Comodato</v>
      </c>
      <c r="I5" s="60" t="str">
        <v>Modelo por confirmar</v>
      </c>
      <c r="J5" s="60" t="str">
        <v>No se ofrece venta/arriendo</v>
      </c>
      <c r="K5" s="62" t="str">
        <v>Ejecutiva valida</v>
      </c>
    </row>
    <row r="6" ht="36" customHeight="1">
      <c r="A6" s="5" t="inlineStr">
        <is>
          <t>oficina</t>
        </is>
      </c>
      <c r="B6" s="10" t="inlineStr">
        <is>
          <t>Oficina</t>
        </is>
      </c>
      <c r="C6" s="10" t="inlineStr">
        <is>
          <t>Superautomática con pantalla</t>
        </is>
      </c>
      <c r="D6" s="10" t="inlineStr">
        <is>
          <t>Hotel, Restaurante</t>
        </is>
      </c>
      <c r="E6" s="10" t="inlineStr">
        <is>
          <t>40 a 150 tazas al día</t>
        </is>
      </c>
      <c r="F6" s="10" t="inlineStr">
        <is>
          <t>Café en grano y leche</t>
        </is>
      </c>
      <c r="G6" s="10" t="inlineStr">
        <is>
          <t>Autoservicio de un toque</t>
        </is>
      </c>
      <c r="H6" s="60" t="str">
        <v>Comodato</v>
      </c>
      <c r="I6" s="60" t="str">
        <v>Modelo por confirmar</v>
      </c>
      <c r="J6" s="60" t="str">
        <v>No se ofrece venta/arriendo</v>
      </c>
      <c r="K6" s="62" t="str">
        <v>Ejecutiva valida</v>
      </c>
    </row>
    <row r="7" ht="36" customHeight="1">
      <c r="A7" s="5" t="inlineStr">
        <is>
          <t>cafe_al_paso</t>
        </is>
      </c>
      <c r="B7" s="10" t="inlineStr">
        <is>
          <t>Café al paso</t>
        </is>
      </c>
      <c r="C7" s="10" t="inlineStr">
        <is>
          <t>Automática de autoservicio</t>
        </is>
      </c>
      <c r="D7" s="10" t="inlineStr">
        <is>
          <t>Hotel, Eventos o catering</t>
        </is>
      </c>
      <c r="E7" s="10" t="inlineStr">
        <is>
          <t>80 a 300 tazas al día</t>
        </is>
      </c>
      <c r="F7" s="10" t="inlineStr">
        <is>
          <t>Grano molido al momento y bebidas calientes</t>
        </is>
      </c>
      <c r="G7" s="10" t="inlineStr">
        <is>
          <t>Sin barista</t>
        </is>
      </c>
      <c r="H7" s="60" t="str">
        <v>Comodato</v>
      </c>
      <c r="I7" s="60" t="str">
        <v>Modelo por confirmar</v>
      </c>
      <c r="J7" s="60" t="str">
        <v>No se ofrece venta/arriendo</v>
      </c>
      <c r="K7" s="62" t="str">
        <v>Ejecutiva valida</v>
      </c>
    </row>
    <row r="8" ht="36" customHeight="1">
      <c r="A8" s="7" t="inlineStr">
        <is>
          <t>pods</t>
        </is>
      </c>
      <c r="B8" s="14" t="inlineStr">
        <is>
          <t>Pods</t>
        </is>
      </c>
      <c r="C8" s="14" t="inlineStr">
        <is>
          <t>Espresso en dosis individuales, 2 tazas a la vez</t>
        </is>
      </c>
      <c r="D8" s="14" t="inlineStr">
        <is>
          <t>Restaurante, Hotel, Cafetería</t>
        </is>
      </c>
      <c r="E8" s="14" t="inlineStr">
        <is>
          <t>30 a 120 tazas al día</t>
        </is>
      </c>
      <c r="F8" s="14" t="inlineStr">
        <is>
          <t>Pods (monodosis de café)</t>
        </is>
      </c>
      <c r="G8" s="14" t="inlineStr">
        <is>
          <t>Sin barista</t>
        </is>
      </c>
      <c r="H8" s="63" t="str">
        <v>Comodato</v>
      </c>
      <c r="I8" s="63" t="str">
        <v>Modelo por confirmar</v>
      </c>
      <c r="J8" s="63" t="str">
        <v>No se ofrece venta/arriendo</v>
      </c>
      <c r="K8" s="64" t="str">
        <v>Ejecutiva valida</v>
      </c>
    </row>
    <row r="9" ht="23" customHeight="1"/>
    <row r="10" ht="36" customHeight="1">
      <c r="A10" s="4" t="inlineStr">
        <is>
          <t>Insumo</t>
        </is>
      </c>
      <c r="B10" s="4" t="inlineStr">
        <is>
          <t>Unidad</t>
        </is>
      </c>
      <c r="C10" s="4" t="inlineStr">
        <is>
          <t>Precio mín</t>
        </is>
      </c>
      <c r="D10" s="4" t="inlineStr">
        <is>
          <t>Precio máx</t>
        </is>
      </c>
      <c r="E10" s="4" t="inlineStr">
        <is>
          <t>Tazas por unidad</t>
        </is>
      </c>
      <c r="F10" s="4" t="inlineStr">
        <is>
          <t>Costo por taza mín</t>
        </is>
      </c>
      <c r="G10" s="4" t="inlineStr">
        <is>
          <t>Costo por taza máx</t>
        </is>
      </c>
      <c r="H10" s="4" t="inlineStr">
        <is>
          <t>Nota</t>
        </is>
      </c>
    </row>
    <row r="11" ht="62" customHeight="1">
      <c r="A11" s="5" t="inlineStr">
        <is>
          <t>Café en grano para empresas (1 kg)</t>
        </is>
      </c>
      <c r="B11" s="10" t="inlineStr">
        <is>
          <t>kg</t>
        </is>
      </c>
      <c r="C11" s="60" t="str">
        <v>Por cotizar</v>
      </c>
      <c r="D11" s="60" t="str">
        <v>Por cotizar</v>
      </c>
      <c r="E11" s="11" t="n">
        <v>110</v>
      </c>
      <c r="F11" s="61" t="str">
        <v>Por cotizar</v>
      </c>
      <c r="G11" s="61" t="str">
        <v>Por cotizar</v>
      </c>
      <c r="H11" s="6" t="inlineStr">
        <is>
          <t>Rinde ~110 tazas por kilo (9 g por espresso, con merma).</t>
        </is>
      </c>
    </row>
    <row r="12" ht="36" customHeight="1">
      <c r="A12" s="5" t="inlineStr">
        <is>
          <t>Pods de café (una por taza)</t>
        </is>
      </c>
      <c r="B12" s="10" t="inlineStr">
        <is>
          <t>pod</t>
        </is>
      </c>
      <c r="C12" s="60" t="str">
        <v>Por cotizar</v>
      </c>
      <c r="D12" s="60" t="str">
        <v>Por cotizar</v>
      </c>
      <c r="E12" s="11" t="n">
        <v>1</v>
      </c>
      <c r="F12" s="61" t="str">
        <v>Por cotizar</v>
      </c>
      <c r="G12" s="61" t="str">
        <v>Por cotizar</v>
      </c>
      <c r="H12" s="6" t="inlineStr">
        <is>
          <t>Una pod por taza.</t>
        </is>
      </c>
    </row>
    <row r="13" ht="62" customHeight="1">
      <c r="A13" s="7" t="inlineStr">
        <is>
          <t>Bebidas calientes para Café al paso</t>
        </is>
      </c>
      <c r="B13" s="14" t="inlineStr">
        <is>
          <t>kg</t>
        </is>
      </c>
      <c r="C13" s="63" t="str">
        <v>Por cotizar</v>
      </c>
      <c r="D13" s="63" t="str">
        <v>Por cotizar</v>
      </c>
      <c r="E13" s="15" t="n">
        <v>60</v>
      </c>
      <c r="F13" s="65" t="str">
        <v>Por cotizar</v>
      </c>
      <c r="G13" s="65" t="str">
        <v>Por cotizar</v>
      </c>
      <c r="H13" s="8" t="inlineStr">
        <is>
          <t>Chocolate y leche en polvo; complementa al grano.</t>
        </is>
      </c>
    </row>
    <row r="14" ht="23" customHeight="1"/>
    <row r="15" ht="30" customHeight="1">
      <c r="A15" s="4" t="inlineStr">
        <is>
          <t>Servicio</t>
        </is>
      </c>
      <c r="B15" s="4" t="inlineStr">
        <is>
          <t>Descripción</t>
        </is>
      </c>
      <c r="C15" s="4" t="inlineStr">
        <is>
          <t>Mín</t>
        </is>
      </c>
      <c r="D15" s="4" t="inlineStr">
        <is>
          <t>Máx</t>
        </is>
      </c>
      <c r="E15" s="4" t="inlineStr">
        <is>
          <t>Unidad</t>
        </is>
      </c>
      <c r="F15" s="4" t="inlineStr">
        <is>
          <t>Fuente</t>
        </is>
      </c>
    </row>
    <row r="16" ht="49" customHeight="1">
      <c r="A16" s="5" t="inlineStr">
        <is>
          <t>Coffee Experience para eventos</t>
        </is>
      </c>
      <c r="B16" s="10" t="inlineStr">
        <is>
          <t>Barra Marley Coffee con barista, tazas y material de marca para tu evento.</t>
        </is>
      </c>
      <c r="C16" s="60" t="str">
        <v>Por cotizar</v>
      </c>
      <c r="D16" s="60" t="str">
        <v>Por cotizar</v>
      </c>
      <c r="E16" s="10" t="inlineStr">
        <is>
          <t>por evento (hasta 120 personas, 4 h)</t>
        </is>
      </c>
      <c r="F16" s="6" t="inlineStr">
        <is>
          <t>Servicio que Marley Coffee comunica en su LinkedIn</t>
        </is>
      </c>
    </row>
    <row r="17" ht="62" customHeight="1">
      <c r="A17" s="5" t="inlineStr">
        <is>
          <t>Catering con la marca</t>
        </is>
      </c>
      <c r="B17" s="10" t="inlineStr">
        <is>
          <t>Coffee break con mantel, tazas y café Marley Coffee para reuniones y lanzamientos.</t>
        </is>
      </c>
      <c r="C17" s="60" t="str">
        <v>Por cotizar</v>
      </c>
      <c r="D17" s="60" t="str">
        <v>Por cotizar</v>
      </c>
      <c r="E17" s="10" t="inlineStr">
        <is>
          <t>por persona (mínimo 30)</t>
        </is>
      </c>
      <c r="F17" s="6" t="inlineStr">
        <is>
          <t>Supuesto académico</t>
        </is>
      </c>
    </row>
    <row r="18" ht="62" customHeight="1">
      <c r="A18" s="5" t="inlineStr">
        <is>
          <t>Punto de activación</t>
        </is>
      </c>
      <c r="B18" s="10" t="inlineStr">
        <is>
          <t>Un módulo Marley Coffee con barista en tu local, hotel o centro comercial por una temporada.</t>
        </is>
      </c>
      <c r="C18" s="60" t="str">
        <v>Por cotizar</v>
      </c>
      <c r="D18" s="60" t="str">
        <v>Por cotizar</v>
      </c>
      <c r="E18" s="10" t="inlineStr">
        <is>
          <t>por mes</t>
        </is>
      </c>
      <c r="F18" s="6" t="inlineStr">
        <is>
          <t>Supuesto académico</t>
        </is>
      </c>
    </row>
    <row r="19" ht="49" customHeight="1">
      <c r="A19" s="5" t="inlineStr">
        <is>
          <t>Material de marca para tu local</t>
        </is>
      </c>
      <c r="B19" s="10" t="inlineStr">
        <is>
          <t>Frente de barra, piso modular, exhibidor de bolsas y carta con la marca.</t>
        </is>
      </c>
      <c r="C19" s="60" t="str">
        <v>Por cotizar</v>
      </c>
      <c r="D19" s="60" t="str">
        <v>Por cotizar</v>
      </c>
      <c r="E19" s="10" t="inlineStr">
        <is>
          <t>por local (pago único)</t>
        </is>
      </c>
      <c r="F19" s="6" t="inlineStr">
        <is>
          <t>Supuesto académico</t>
        </is>
      </c>
    </row>
    <row r="20" ht="75" customHeight="1">
      <c r="A20" s="5" t="inlineStr">
        <is>
          <t>Capacitación de barista</t>
        </is>
      </c>
      <c r="B20" s="10" t="inlineStr">
        <is>
          <t>Tu equipo aprende a preparar y cuidar la máquina con un barista de Marley Coffee.</t>
        </is>
      </c>
      <c r="C20" s="60" t="str">
        <v>Por cotizar</v>
      </c>
      <c r="D20" s="60" t="str">
        <v>Por cotizar</v>
      </c>
      <c r="E20" s="10" t="inlineStr">
        <is>
          <t>por sesión (hasta 6 personas) · condiciones por confirmar</t>
        </is>
      </c>
      <c r="F20" s="6" t="inlineStr">
        <is>
          <t>Supuesto académico</t>
        </is>
      </c>
    </row>
    <row r="21" ht="49" customHeight="1">
      <c r="A21" s="5" t="inlineStr">
        <is>
          <t>Tazas y accesorios de la marca</t>
        </is>
      </c>
      <c r="B21" s="10" t="inlineStr">
        <is>
          <t>Taza mug negra y travel mug Marley Coffee para tu servicio.</t>
        </is>
      </c>
      <c r="C21" s="60" t="str">
        <v>Por cotizar</v>
      </c>
      <c r="D21" s="60" t="str">
        <v>Por cotizar</v>
      </c>
      <c r="E21" s="10" t="inlineStr">
        <is>
          <t>por taza (mínimo 24)</t>
        </is>
      </c>
      <c r="F21" s="6" t="inlineStr">
        <is>
          <t>Supuesto académico</t>
        </is>
      </c>
    </row>
    <row r="22" ht="49" customHeight="1">
      <c r="A22" s="7" t="inlineStr">
        <is>
          <t>Office Coffee Service</t>
        </is>
      </c>
      <c r="B22" s="14" t="inlineStr">
        <is>
          <t>Reposición programada, mantención de la máquina y soporte para tu operación.</t>
        </is>
      </c>
      <c r="C22" s="63" t="inlineStr">
        <is>
          <t>A cotizar</t>
        </is>
      </c>
      <c r="D22" s="63" t="inlineStr">
        <is>
          <t>A cotizar</t>
        </is>
      </c>
      <c r="E22" s="14" t="inlineStr">
        <is>
          <t>servicio adicional a cotizar</t>
        </is>
      </c>
      <c r="F22" s="8" t="inlineStr">
        <is>
          <t>Servicio que Marley Coffee comunica en su LinkedIn</t>
        </is>
      </c>
    </row>
    <row r="23" ht="23" customHeight="1"/>
    <row r="24" ht="30" customHeight="1">
      <c r="A24" s="4" t="inlineStr">
        <is>
          <t>Referencia pública (dato real)</t>
        </is>
      </c>
      <c r="B24" s="4" t="inlineStr">
        <is>
          <t>Mín</t>
        </is>
      </c>
      <c r="C24" s="4" t="inlineStr">
        <is>
          <t>Máx</t>
        </is>
      </c>
      <c r="D24" s="4" t="inlineStr">
        <is>
          <t>Fuente</t>
        </is>
      </c>
    </row>
    <row r="25" ht="49" customHeight="1">
      <c r="A25" s="5" t="inlineStr">
        <is>
          <t>Café en grano 227 g</t>
        </is>
      </c>
      <c r="B25" s="66" t="n">
        <v>8574</v>
      </c>
      <c r="C25" s="66" t="n">
        <v>15590</v>
      </c>
      <c r="D25" s="6" t="inlineStr">
        <is>
          <t>Tienda pública marleycoffee.cl (API de catálogo VTEX), 12-10-2026</t>
        </is>
      </c>
    </row>
    <row r="26" ht="49" customHeight="1">
      <c r="A26" s="7" t="inlineStr">
        <is>
          <t>Café molido 227 g</t>
        </is>
      </c>
      <c r="B26" s="67" t="n">
        <v>6894</v>
      </c>
      <c r="C26" s="67" t="n">
        <v>15590</v>
      </c>
      <c r="D26" s="8" t="inlineStr">
        <is>
          <t>Tienda pública marleycoffee.cl (API de catálogo VTEX), 12-10-2026</t>
        </is>
      </c>
    </row>
    <row r="27" ht="23" customHeight="1"/>
    <row r="28" ht="36" customHeight="1">
      <c r="A28" s="50" t="str">
        <v>Consumo orientativo y pago antes de instalar (magnitudes separadas)</v>
      </c>
    </row>
    <row r="29" ht="23" customHeight="1">
      <c r="A29" s="10" t="inlineStr">
        <is>
          <t>Máquina (ID)</t>
        </is>
      </c>
      <c r="B29" s="11" t="inlineStr">
        <is>
          <t>bar</t>
        </is>
      </c>
    </row>
    <row r="30" ht="23" customHeight="1">
      <c r="A30" s="10" t="inlineStr">
        <is>
          <t>Tazas al día</t>
        </is>
      </c>
      <c r="B30" s="11" t="n">
        <v>250</v>
      </c>
    </row>
    <row r="31" ht="23" customHeight="1">
      <c r="A31" s="10" t="inlineStr">
        <is>
          <t>Días de servicio al mes</t>
        </is>
      </c>
      <c r="B31" s="11" t="n">
        <v>26</v>
      </c>
    </row>
    <row r="32" ht="23" customHeight="1">
      <c r="A32" s="10" t="inlineStr">
        <is>
          <t>Modalidad</t>
        </is>
      </c>
      <c r="B32" s="11" t="str">
        <v>comodato</v>
      </c>
    </row>
    <row r="33" ht="23" customHeight="1">
      <c r="A33" s="10" t="inlineStr">
        <is>
          <t>Tazas por unidad de insumo</t>
        </is>
      </c>
      <c r="B33" s="21">
        <f>IF(B29="pods",E12,E11)</f>
        <v/>
      </c>
    </row>
    <row r="34" ht="23" customHeight="1">
      <c r="A34" s="10" t="inlineStr">
        <is>
          <t>Unidades al mes (kg o pods)</t>
        </is>
      </c>
      <c r="B34" s="36">
        <f>B30*B31/B33</f>
        <v/>
      </c>
    </row>
    <row r="35" ht="23" customHeight="1">
      <c r="A35" s="10" t="str">
        <v>Reposición mensual · precio mínimo</v>
      </c>
      <c r="B35" s="61" t="str">
        <v>Por confirmar con el equipo</v>
      </c>
    </row>
    <row r="36" ht="23" customHeight="1">
      <c r="A36" s="10" t="str">
        <v>Reposición mensual · precio máximo</v>
      </c>
      <c r="B36" s="61" t="str">
        <v>Por confirmar con el equipo</v>
      </c>
    </row>
    <row r="37" ht="36" customHeight="1">
      <c r="A37" s="10" t="str">
        <v>Carga base de insumos · neto</v>
      </c>
      <c r="B37" s="61" t="n">
        <v>1331220</v>
      </c>
    </row>
    <row r="38" ht="36" customHeight="1">
      <c r="A38" s="10" t="str">
        <v>Kit de instalación · neto</v>
      </c>
      <c r="B38" s="61" t="n">
        <v>100000</v>
      </c>
    </row>
    <row r="39" ht="36" customHeight="1">
      <c r="A39" s="10" t="str">
        <v>Filtro · neto</v>
      </c>
      <c r="B39" s="61" t="n">
        <v>60000</v>
      </c>
    </row>
    <row r="40" ht="36" customHeight="1">
      <c r="A40" s="10" t="str">
        <v>Total antes de instalar · neto</v>
      </c>
      <c r="B40" s="61" t="n">
        <f>SUM(B37:B39)</f>
        <v>1491220</v>
      </c>
    </row>
    <row r="41" ht="23" customHeight="1">
      <c r="A41" s="10" t="str">
        <v>Mínimo mensual de compra</v>
      </c>
      <c r="B41" s="61" t="str">
        <v>Por confirmar con el equipo</v>
      </c>
    </row>
    <row r="42" ht="23" customHeight="1">
      <c r="A42" s="10" t="str">
        <v>Modelo disponible</v>
      </c>
      <c r="B42" s="61" t="str">
        <v>Por confirmar con el equipo</v>
      </c>
    </row>
    <row r="43" ht="36" customHeight="1">
      <c r="A43" s="10" t="str">
        <v>Costo por taza mínimo</v>
      </c>
      <c r="B43" s="61" t="str">
        <v>Por confirmar con el equipo</v>
      </c>
    </row>
    <row r="44" ht="36" customHeight="1">
      <c r="A44" s="10" t="str">
        <v>Costo por taza máximo</v>
      </c>
      <c r="B44" s="61" t="str">
        <v>Por confirmar con el equipo</v>
      </c>
    </row>
    <row r="45" ht="23" customHeight="1"/>
    <row r="46" ht="23" customHeight="1"/>
    <row r="47" ht="36" customHeight="1">
      <c r="A47" s="50" t="str">
        <v>Modelo comercial confirmado</v>
      </c>
    </row>
    <row r="48" ht="30" customHeight="1">
      <c r="A48" s="4" t="inlineStr">
        <is>
          <t>Modalidad</t>
        </is>
      </c>
      <c r="B48" s="4" t="inlineStr">
        <is>
          <t>Estado</t>
        </is>
      </c>
      <c r="C48" s="4" t="inlineStr">
        <is>
          <t>Base</t>
        </is>
      </c>
      <c r="D48" s="4" t="inlineStr">
        <is>
          <t>Cómo se presenta</t>
        </is>
      </c>
    </row>
    <row r="49" ht="62" customHeight="1">
      <c r="A49" s="5" t="str">
        <v>Comodato</v>
      </c>
      <c r="B49" s="10" t="str">
        <v>Confirmado por correo del ejecutivo</v>
      </c>
      <c r="C49" s="10" t="str">
        <v>19-10-2026 · correo y presupuesto aportados por Carlos Vargas</v>
      </c>
      <c r="D49" s="6" t="str">
        <v>Máquina prestada con compra mensual de insumos; carga base se paga antes de instalar.</v>
      </c>
    </row>
    <row r="50" ht="75" customHeight="1">
      <c r="A50" s="5" t="str">
        <v>Abastecimiento mensual</v>
      </c>
      <c r="B50" s="10" t="str">
        <v>Precio, mínimo y formatos por confirmar</v>
      </c>
      <c r="C50" s="10" t="str">
        <v>No fueron detallados en la comunicación recibida</v>
      </c>
      <c r="D50" s="6" t="str">
        <v>Productos elegidos y cantidades son una solicitud para cotizar, no una compra ni un pedido confirmado.</v>
      </c>
    </row>
    <row r="51" ht="88" customHeight="1">
      <c r="A51" s="7" t="str">
        <v>Cómo leer las cifras</v>
      </c>
      <c r="B51" s="14" t="str">
        <v>Montos netos CLP; referencia bajo/medio flujo</v>
      </c>
      <c r="C51" s="14" t="str">
        <v>Carga inicial:1.331.220 +100.000 +60.000 =1.491.220</v>
      </c>
      <c r="D51" s="8" t="str">
        <v>La carga base no se repite automáticamente cada mes ni se recalcula desde el carrito. El consumo de250tazas/día ×26días /110tazas/kg =59,09kg/mes es supuesto operativo, no mínimo contractual.</v>
      </c>
    </row>
  </sheetData>
  <mergeCells count="1">
    <mergeCell ref="A2:K2"/>
  </mergeCells>
  <dataValidations count="1">
    <dataValidation sqref="B29" showDropDown="0" showInputMessage="0" showErrorMessage="0" allowBlank="0" type="list">
      <formula1>=$A$5:$A$8</formula1>
    </dataValidation>
  </dataValidations>
  <pageMargins left="0.75" right="0.75" top="1" bottom="1" header="0.5" footer="0.5"/>
  <pageSetup orientation="landscape" fitToHeight="0" fitToWidth="1"/>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21.xml><?xml version="1.0" encoding="utf-8"?>
<worksheet xmlns="http://schemas.openxmlformats.org/spreadsheetml/2006/main">
  <sheetPr>
    <tabColor rgb="003F3F40"/>
    <outlinePr summaryBelow="1" summaryRight="1"/>
    <pageSetUpPr fitToPage="1"/>
  </sheetPr>
  <dimension ref="A1:G7"/>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2" customWidth="1" min="2" max="2"/>
    <col width="32" customWidth="1" min="3" max="3"/>
    <col width="10" customWidth="1" min="4" max="4"/>
    <col width="60" customWidth="1" min="5" max="5"/>
    <col width="56" customWidth="1" min="6" max="6"/>
    <col width="36" customWidth="1" min="7" max="7"/>
  </cols>
  <sheetData>
    <row r="1" ht="28" customHeight="1">
      <c r="A1" s="1" t="inlineStr">
        <is>
          <t>CRM por rol: cada rol ve lo que necesita para decidir</t>
        </is>
      </c>
      <c r="B1" s="2" t="n"/>
      <c r="C1" s="2" t="n"/>
      <c r="D1" s="2" t="n"/>
      <c r="E1" s="2" t="n"/>
      <c r="F1" s="2" t="n"/>
      <c r="G1" s="2" t="n"/>
    </row>
    <row r="2" ht="16" customHeight="1">
      <c r="A2" s="3" t="inlineStr">
        <is>
          <t>R00 ingreso de trabajadores con usuario y contraseña. Las métricas generales (R05, R14, R15) son solo de la jefatura. Usuarios de demostración.</t>
        </is>
      </c>
    </row>
    <row r="3"/>
    <row r="4" ht="30" customHeight="1">
      <c r="A4" s="4" t="inlineStr">
        <is>
          <t>Rol</t>
        </is>
      </c>
      <c r="B4" s="4" t="inlineStr">
        <is>
          <t>Usuario (demo)</t>
        </is>
      </c>
      <c r="C4" s="4" t="inlineStr">
        <is>
          <t>Pregunta que decide</t>
        </is>
      </c>
      <c r="D4" s="4" t="inlineStr">
        <is>
          <t>Inicio</t>
        </is>
      </c>
      <c r="E4" s="4" t="inlineStr">
        <is>
          <t>Menú (5 secciones)</t>
        </is>
      </c>
      <c r="F4" s="4" t="inlineStr">
        <is>
          <t>Qué ve</t>
        </is>
      </c>
      <c r="G4" s="4" t="inlineStr">
        <is>
          <t>Qué no ve</t>
        </is>
      </c>
    </row>
    <row r="5">
      <c r="A5" s="5" t="inlineStr">
        <is>
          <t>Ventas</t>
        </is>
      </c>
      <c r="B5" s="10" t="inlineStr">
        <is>
          <t>Paula Díaz · Ejecutiva Zona Oriente</t>
        </is>
      </c>
      <c r="C5" s="10" t="inlineStr">
        <is>
          <t>A quién atender ahora y qué ofrecer</t>
        </is>
      </c>
      <c r="D5" s="10" t="inlineStr">
        <is>
          <t>R01</t>
        </is>
      </c>
      <c r="E5" s="10" t="inlineStr">
        <is>
          <t>R01 Mi día · R02 Conversaciones y llamadas · R03 Mis clientes · R08 Cotizaciones · R10 Agenda</t>
        </is>
      </c>
      <c r="F5" s="10" t="inlineStr">
        <is>
          <t>Dónde está el cliente, qué compra, tipo de negocio, frecuencia, ticket, productos a sugerir, historial, cola de chats y llamadas, agenda y cotizaciones.</t>
        </is>
      </c>
      <c r="G5" s="6" t="inlineStr">
        <is>
          <t>Panel general, equipo y operación.</t>
        </is>
      </c>
    </row>
    <row r="6">
      <c r="A6" s="5" t="inlineStr">
        <is>
          <t>Marketing</t>
        </is>
      </c>
      <c r="B6" s="10" t="inlineStr">
        <is>
          <t>Equipo de marketing · Contenido y campañas</t>
        </is>
      </c>
      <c r="C6" s="10" t="inlineStr">
        <is>
          <t>Qué contenido y a quién</t>
        </is>
      </c>
      <c r="D6" s="10" t="inlineStr">
        <is>
          <t>R11</t>
        </is>
      </c>
      <c r="E6" s="10" t="inlineStr">
        <is>
          <t>R11 Flywheel e indicadores · R12 Leads y puntajes · R13 Contenido personalizado · R06 Mapa · R09 Reglas de puntaje</t>
        </is>
      </c>
      <c r="F6" s="10" t="inlineStr">
        <is>
          <t>Flywheel, MQL, SQL, puntajes, interacciones, lead magnets, origen y campañas, contenido personalizado por segmento y mapa.</t>
        </is>
      </c>
      <c r="G6" s="6" t="inlineStr">
        <is>
          <t>Panel general, equipo y operación.</t>
        </is>
      </c>
    </row>
    <row r="7">
      <c r="A7" s="7" t="inlineStr">
        <is>
          <t>Jefatura</t>
        </is>
      </c>
      <c r="B7" s="14" t="inlineStr">
        <is>
          <t>Gerencia comercial · Vista general (solo jefatura)</t>
        </is>
      </c>
      <c r="C7" s="14" t="inlineStr">
        <is>
          <t>Dónde poner recursos y qué aprobar</t>
        </is>
      </c>
      <c r="D7" s="14" t="inlineStr">
        <is>
          <t>R05</t>
        </is>
      </c>
      <c r="E7" s="14" t="inlineStr">
        <is>
          <t>R05 Panel general · R06 Zonas · R14 Equipo y tiempos · R15 Operación · R07 Agentes y aprobaciones</t>
        </is>
      </c>
      <c r="F7" s="14" t="inlineStr">
        <is>
          <t>Panel general (ventas, clientes activos, conversión, ticket, frecuencia, reposición digital, retención, OTIF), zonas, equipo y tiempos, operación, agentes y aprobaciones.</t>
        </is>
      </c>
      <c r="G7" s="8" t="inlineStr">
        <is>
          <t>—</t>
        </is>
      </c>
    </row>
  </sheetData>
  <mergeCells count="1">
    <mergeCell ref="A2:G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2.xml><?xml version="1.0" encoding="utf-8"?>
<worksheet xmlns="http://schemas.openxmlformats.org/spreadsheetml/2006/main">
  <sheetPr>
    <tabColor rgb="003F3F40"/>
    <outlinePr summaryBelow="1" summaryRight="1"/>
    <pageSetUpPr fitToPage="1"/>
  </sheetPr>
  <dimension ref="A1:E47"/>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60" customWidth="1" min="2" max="2"/>
    <col width="70" customWidth="1" min="3" max="3"/>
    <col width="48" customWidth="1" min="4" max="4"/>
    <col width="13" customWidth="1" min="5" max="5"/>
  </cols>
  <sheetData>
    <row r="1" ht="28" customHeight="1">
      <c r="A1" s="1" t="inlineStr">
        <is>
          <t>SEO y AEO: títulos, datos estructurados e intenciones de búsqueda</t>
        </is>
      </c>
      <c r="B1" s="2" t="n"/>
      <c r="C1" s="2" t="n"/>
      <c r="D1" s="2" t="n"/>
      <c r="E1" s="2" t="n"/>
    </row>
    <row r="2" ht="16" customHeight="1">
      <c r="A2" s="3" t="inlineStr">
        <is>
          <t>Prototipo académico con noindex. En producción se publicaría bajo marleycoffee.cl/empresas con estos títulos y datos estructurados.</t>
        </is>
      </c>
    </row>
    <row r="3"/>
    <row r="4" ht="30" customHeight="1">
      <c r="A4" s="4" t="inlineStr">
        <is>
          <t>Pantalla</t>
        </is>
      </c>
      <c r="B4" s="4" t="inlineStr">
        <is>
          <t>Título (title)</t>
        </is>
      </c>
      <c r="C4" s="4" t="inlineStr">
        <is>
          <t>Descripción (meta description)</t>
        </is>
      </c>
      <c r="D4" s="4" t="inlineStr">
        <is>
          <t>Datos estructurados (JSON-LD)</t>
        </is>
      </c>
    </row>
    <row r="5">
      <c r="A5" s="5" t="inlineStr">
        <is>
          <t>C02</t>
        </is>
      </c>
      <c r="B5" s="10" t="inlineStr">
        <is>
          <t>Café para empresas, hoteles y restaurantes | Marley Coffee Empresas</t>
        </is>
      </c>
      <c r="C5" s="10" t="str">
        <v>Máquinas de café en comodato con compra mensual de insumos, café orgánico y servicios para eventos. Recomendación en 1 minuto y ejecutiva de tu zona.</v>
      </c>
      <c r="D5" s="6" t="inlineStr">
        <is>
          <t>Organization, Product (4 máquinas), Service (Coffee Experience, Office Coffee Service), FAQPage, BreadcrumbList</t>
        </is>
      </c>
    </row>
    <row r="6">
      <c r="A6" s="5" t="inlineStr">
        <is>
          <t>C03</t>
        </is>
      </c>
      <c r="B6" s="10" t="inlineStr">
        <is>
          <t>Tus datos para coordinar | Marley Coffee Empresas</t>
        </is>
      </c>
      <c r="C6" s="10" t="inlineStr">
        <is>
          <t>Deja tu nombre y correo para que una ejecutiva de tu zona revise tu propuesta de café para empresas.</t>
        </is>
      </c>
      <c r="D6" s="6" t="inlineStr">
        <is>
          <t>Organization, BreadcrumbList</t>
        </is>
      </c>
    </row>
    <row r="7">
      <c r="A7" s="5" t="inlineStr">
        <is>
          <t>C04</t>
        </is>
      </c>
      <c r="B7" s="10" t="inlineStr">
        <is>
          <t>Tu negocio en 3 pasos | Marley Coffee Empresas</t>
        </is>
      </c>
      <c r="C7" s="10" t="inlineStr">
        <is>
          <t>Tres pasos para recomendarte la máquina, el café y la ejecutiva de tu zona.</t>
        </is>
      </c>
      <c r="D7" s="6" t="inlineStr">
        <is>
          <t>Organization, BreadcrumbList</t>
        </is>
      </c>
    </row>
    <row r="8">
      <c r="A8" s="5" t="inlineStr">
        <is>
          <t>C05</t>
        </is>
      </c>
      <c r="B8" s="10" t="inlineStr">
        <is>
          <t>Tu propuesta de café para empresas | Marley Coffee Empresas</t>
        </is>
      </c>
      <c r="C8" s="10" t="inlineStr">
        <is>
          <t>Máquina sugerida, café al mes y precio mensual estimado al instante. Acéptala o habla con una ejecutiva de tu zona.</t>
        </is>
      </c>
      <c r="D8" s="6" t="inlineStr">
        <is>
          <t>Organization, BreadcrumbList</t>
        </is>
      </c>
    </row>
    <row r="9">
      <c r="A9" s="5" t="inlineStr">
        <is>
          <t>C06</t>
        </is>
      </c>
      <c r="B9" s="10" t="inlineStr">
        <is>
          <t>Mi portal | Marley Coffee Empresas</t>
        </is>
      </c>
      <c r="C9" s="10" t="inlineStr">
        <is>
          <t>Tu propuesta, los próximos pasos y la conversación con tu ejecutiva.</t>
        </is>
      </c>
      <c r="D9" s="6" t="inlineStr">
        <is>
          <t>Organization, BreadcrumbList</t>
        </is>
      </c>
    </row>
    <row r="10">
      <c r="A10" s="5" t="inlineStr">
        <is>
          <t>C07</t>
        </is>
      </c>
      <c r="B10" s="10" t="inlineStr">
        <is>
          <t>Ajusta tu propuesta de café | Marley Coffee Empresas</t>
        </is>
      </c>
      <c r="C10" s="10" t="inlineStr">
        <is>
          <t>Rangos de precio por tipo de máquina, consumo mensual estimado y servicios recomendados para tu negocio.</t>
        </is>
      </c>
      <c r="D10" s="6" t="inlineStr">
        <is>
          <t>Organization, Product (4 máquinas), BreadcrumbList</t>
        </is>
      </c>
    </row>
    <row r="11">
      <c r="A11" s="5" t="inlineStr">
        <is>
          <t>C08</t>
        </is>
      </c>
      <c r="B11" s="10" t="inlineStr">
        <is>
          <t>Casos: café en hoteles, restaurantes, cafeterías y eventos | Marley Coffee Empresas</t>
        </is>
      </c>
      <c r="C11" s="10" t="inlineStr">
        <is>
          <t>Recorre cómo se vive Marley Coffee en cada tipo de negocio.</t>
        </is>
      </c>
      <c r="D11" s="6" t="inlineStr">
        <is>
          <t>Organization, BreadcrumbList</t>
        </is>
      </c>
    </row>
    <row r="12">
      <c r="A12" s="7" t="inlineStr">
        <is>
          <t>C09</t>
        </is>
      </c>
      <c r="B12" s="14" t="inlineStr">
        <is>
          <t>Mi cuenta | Marley Coffee Empresas</t>
        </is>
      </c>
      <c r="C12" s="14" t="inlineStr">
        <is>
          <t>Repite tu pedido, programa avisos de reposición y pide servicios para tu negocio.</t>
        </is>
      </c>
      <c r="D12" s="8" t="inlineStr">
        <is>
          <t>Organization, BreadcrumbList</t>
        </is>
      </c>
    </row>
    <row r="13"/>
    <row r="14" ht="30" customHeight="1">
      <c r="A14" s="4" t="inlineStr">
        <is>
          <t>Intención de búsqueda (no marca)</t>
        </is>
      </c>
      <c r="B14" s="4" t="inlineStr">
        <is>
          <t>Tipo</t>
        </is>
      </c>
      <c r="C14" s="4" t="inlineStr">
        <is>
          <t>Página destino</t>
        </is>
      </c>
      <c r="D14" s="4" t="inlineStr">
        <is>
          <t>Bloque que responde</t>
        </is>
      </c>
    </row>
    <row r="15">
      <c r="A15" s="5" t="inlineStr">
        <is>
          <t>café para empresas</t>
        </is>
      </c>
      <c r="B15" s="10" t="inlineStr">
        <is>
          <t>Comercial</t>
        </is>
      </c>
      <c r="C15" s="10" t="inlineStr">
        <is>
          <t>C02 · H1</t>
        </is>
      </c>
      <c r="D15" s="6" t="inlineStr">
        <is>
          <t>Hero y pestañas por negocio</t>
        </is>
      </c>
    </row>
    <row r="16">
      <c r="A16" s="5" t="inlineStr">
        <is>
          <t>máquina de café para empresas</t>
        </is>
      </c>
      <c r="B16" s="10" t="inlineStr">
        <is>
          <t>Comercial</t>
        </is>
      </c>
      <c r="C16" s="10" t="inlineStr">
        <is>
          <t>C02 · Máquinas y C07</t>
        </is>
      </c>
      <c r="D16" s="6" t="inlineStr">
        <is>
          <t>Las 4 barras con su ficha y el cotizador</t>
        </is>
      </c>
    </row>
    <row r="17">
      <c r="A17" s="5" t="inlineStr">
        <is>
          <t>máquina de café para hotel</t>
        </is>
      </c>
      <c r="B17" s="10" t="inlineStr">
        <is>
          <t>Comercial</t>
        </is>
      </c>
      <c r="C17" s="10" t="inlineStr">
        <is>
          <t>C02 · pestaña Hotel</t>
        </is>
      </c>
      <c r="D17" s="6" t="inlineStr">
        <is>
          <t>Bar para el desayuno y Pods en habitaciones</t>
        </is>
      </c>
    </row>
    <row r="18">
      <c r="A18" s="5" t="str">
        <v>máquina de café en comodato</v>
      </c>
      <c r="B18" s="10" t="inlineStr">
        <is>
          <t>Transaccional</t>
        </is>
      </c>
      <c r="C18" s="10" t="inlineStr">
        <is>
          <t>C07 cotizador</t>
        </is>
      </c>
      <c r="D18" s="6" t="str">
        <v>Condiciones de comodato y compra mensual de insumos, sin oferta de arriendo o venta de equipo.</v>
      </c>
    </row>
    <row r="19">
      <c r="A19" s="5" t="inlineStr">
        <is>
          <t>café para restaurantes</t>
        </is>
      </c>
      <c r="B19" s="10" t="inlineStr">
        <is>
          <t>Comercial</t>
        </is>
      </c>
      <c r="C19" s="10" t="inlineStr">
        <is>
          <t>C02 · pestaña Restaurante</t>
        </is>
      </c>
      <c r="D19" s="6" t="inlineStr">
        <is>
          <t>Pods y taza de la marca en cada mesa</t>
        </is>
      </c>
    </row>
    <row r="20">
      <c r="A20" s="5" t="inlineStr">
        <is>
          <t>coffee break para empresas</t>
        </is>
      </c>
      <c r="B20" s="10" t="inlineStr">
        <is>
          <t>Comercial</t>
        </is>
      </c>
      <c r="C20" s="10" t="inlineStr">
        <is>
          <t>C02 · servicios</t>
        </is>
      </c>
      <c r="D20" s="6" t="inlineStr">
        <is>
          <t>Catering con branding</t>
        </is>
      </c>
    </row>
    <row r="21">
      <c r="A21" s="5" t="inlineStr">
        <is>
          <t>barra de café para eventos</t>
        </is>
      </c>
      <c r="B21" s="10" t="inlineStr">
        <is>
          <t>Comercial</t>
        </is>
      </c>
      <c r="C21" s="10" t="inlineStr">
        <is>
          <t>C02 · pestaña Eventos y C08</t>
        </is>
      </c>
      <c r="D21" s="6" t="inlineStr">
        <is>
          <t>Coffee Experience</t>
        </is>
      </c>
    </row>
    <row r="22">
      <c r="A22" s="7" t="inlineStr">
        <is>
          <t>cuánto cuesta una taza de café en un negocio</t>
        </is>
      </c>
      <c r="B22" s="14" t="inlineStr">
        <is>
          <t>Informativa (AEO)</t>
        </is>
      </c>
      <c r="C22" s="14" t="inlineStr">
        <is>
          <t>C02 · FAQ</t>
        </is>
      </c>
      <c r="D22" s="8" t="inlineStr">
        <is>
          <t>Respuesta primero: $180 a $390 por taza (supuesto)</t>
        </is>
      </c>
    </row>
    <row r="23"/>
    <row r="24">
      <c r="A24" s="50" t="inlineStr">
        <is>
          <t>Mapa de encabezados por página (revisión 13-10 con el agente SEO de Agent OS: un H1 con la intención, H2 con la tarea o pregunta real, H3 con el detalle; la frase emocional queda como línea chica o párrafo)</t>
        </is>
      </c>
    </row>
    <row r="25" ht="30" customHeight="1">
      <c r="A25" s="4" t="inlineStr">
        <is>
          <t>Página</t>
        </is>
      </c>
      <c r="B25" s="4" t="inlineStr">
        <is>
          <t>Nivel</t>
        </is>
      </c>
      <c r="C25" s="4" t="inlineStr">
        <is>
          <t>Antes</t>
        </is>
      </c>
      <c r="D25" s="4" t="inlineStr">
        <is>
          <t>Ahora</t>
        </is>
      </c>
      <c r="E25" s="4" t="inlineStr">
        <is>
          <t>Intención o consulta que cubre</t>
        </is>
      </c>
    </row>
    <row r="26">
      <c r="A26" s="5" t="inlineStr">
        <is>
          <t>C02 (indexable)</t>
        </is>
      </c>
      <c r="B26" s="10" t="inlineStr">
        <is>
          <t>H1</t>
        </is>
      </c>
      <c r="C26" s="10" t="inlineStr">
        <is>
          <t>El café de tu negocio, con una ejecutiva de tu zona</t>
        </is>
      </c>
      <c r="D26" s="10" t="inlineStr">
        <is>
          <t>Café para empresas: hoteles, restaurantes, cafeterías y eventos · El café de tu negocio, con una ejecutiva de tu zona</t>
        </is>
      </c>
      <c r="E26" s="6" t="inlineStr">
        <is>
          <t>café para empresas (comercial)</t>
        </is>
      </c>
    </row>
    <row r="27">
      <c r="A27" s="5" t="inlineStr">
        <is>
          <t>C02</t>
        </is>
      </c>
      <c r="B27" s="10" t="inlineStr">
        <is>
          <t>H2</t>
        </is>
      </c>
      <c r="C27" s="10" t="inlineStr">
        <is>
          <t>De una taza a todo tu local</t>
        </is>
      </c>
      <c r="D27" s="10" t="str">
        <v>Máquinas de café en comodato con compra mensual de insumos</v>
      </c>
      <c r="E27" s="6" t="str">
        <v>máquina en comodato y abastecimiento de café</v>
      </c>
    </row>
    <row r="28">
      <c r="A28" s="5" t="inlineStr">
        <is>
          <t>C02</t>
        </is>
      </c>
      <c r="B28" s="10" t="inlineStr">
        <is>
          <t>H2</t>
        </is>
      </c>
      <c r="C28" s="10" t="inlineStr">
        <is>
          <t>Así se ve en tu negocio</t>
        </is>
      </c>
      <c r="D28" s="10" t="inlineStr">
        <is>
          <t>Café para hoteles, restaurantes, cafeterías y eventos</t>
        </is>
      </c>
      <c r="E28" s="6" t="inlineStr">
        <is>
          <t>café para hoteles · restaurantes · cafeterías</t>
        </is>
      </c>
    </row>
    <row r="29">
      <c r="A29" s="5" t="inlineStr">
        <is>
          <t>C02</t>
        </is>
      </c>
      <c r="B29" s="10" t="inlineStr">
        <is>
          <t>H3</t>
        </is>
      </c>
      <c r="C29" s="10" t="inlineStr">
        <is>
          <t>Del desayuno a la habitación, la misma taza (por pestaña)</t>
        </is>
      </c>
      <c r="D29" s="10" t="inlineStr">
        <is>
          <t>Café para hoteles / restaurantes / cafeterías · Barra de café para eventos (primera línea del H3)</t>
        </is>
      </c>
      <c r="E29" s="6" t="inlineStr">
        <is>
          <t>una intención por tipo de negocio</t>
        </is>
      </c>
    </row>
    <row r="30">
      <c r="A30" s="5" t="inlineStr">
        <is>
          <t>C02</t>
        </is>
      </c>
      <c r="B30" s="10" t="inlineStr">
        <is>
          <t>H2</t>
        </is>
      </c>
      <c r="C30" s="10" t="inlineStr">
        <is>
          <t>Elige por cómo sirves, no por catálogo</t>
        </is>
      </c>
      <c r="D30" s="10" t="str">
        <v>Máquinas de café para empresas: comodato con compra mensual de insumos</v>
      </c>
      <c r="E30" s="6" t="inlineStr">
        <is>
          <t>máquina de café para empresas</t>
        </is>
      </c>
    </row>
    <row r="31">
      <c r="A31" s="5" t="inlineStr">
        <is>
          <t>C02</t>
        </is>
      </c>
      <c r="B31" s="10" t="inlineStr">
        <is>
          <t>H3</t>
        </is>
      </c>
      <c r="C31" s="10" t="inlineStr">
        <is>
          <t>(nombres en negrita)</t>
        </is>
      </c>
      <c r="D31" s="10" t="inlineStr">
        <is>
          <t>Bar · Oficina · Café al paso · Pods (fichas de las 4 barras)</t>
        </is>
      </c>
      <c r="E31" s="6" t="inlineStr">
        <is>
          <t>entidades de producto (coinciden con Product)</t>
        </is>
      </c>
    </row>
    <row r="32">
      <c r="A32" s="5" t="inlineStr">
        <is>
          <t>C02</t>
        </is>
      </c>
      <c r="B32" s="10" t="inlineStr">
        <is>
          <t>H2</t>
        </is>
      </c>
      <c r="C32" s="10" t="inlineStr">
        <is>
          <t>Más que café: experiencias con la marca</t>
        </is>
      </c>
      <c r="D32" s="10" t="inlineStr">
        <is>
          <t>Servicios de café para eventos y catering</t>
        </is>
      </c>
      <c r="E32" s="6" t="inlineStr">
        <is>
          <t>coffee break para empresas · barra de café para eventos</t>
        </is>
      </c>
    </row>
    <row r="33">
      <c r="A33" s="5" t="inlineStr">
        <is>
          <t>C02</t>
        </is>
      </c>
      <c r="B33" s="10" t="inlineStr">
        <is>
          <t>H2 / H3</t>
        </is>
      </c>
      <c r="C33" s="10" t="inlineStr">
        <is>
          <t>Tres pasos, una persona (pasos en negrita)</t>
        </is>
      </c>
      <c r="D33" s="10" t="inlineStr">
        <is>
          <t>Cómo cotizar café para tu empresa · H3 por paso</t>
        </is>
      </c>
      <c r="E33" s="6" t="inlineStr">
        <is>
          <t>cómo cotizar café para empresas</t>
        </is>
      </c>
    </row>
    <row r="34">
      <c r="A34" s="5" t="inlineStr">
        <is>
          <t>C02</t>
        </is>
      </c>
      <c r="B34" s="10" t="inlineStr">
        <is>
          <t>H2 / H3</t>
        </is>
      </c>
      <c r="C34" s="10" t="inlineStr">
        <is>
          <t>Lo que preguntan los negocios (preguntas sin título)</t>
        </is>
      </c>
      <c r="D34" s="10" t="inlineStr">
        <is>
          <t>Preguntas frecuentes sobre café para empresas · cada pregunta como H3</t>
        </is>
      </c>
      <c r="E34" s="6" t="inlineStr">
        <is>
          <t>AEO: preguntas reales con respuesta primero</t>
        </is>
      </c>
    </row>
    <row r="35">
      <c r="A35" s="5" t="inlineStr">
        <is>
          <t>C02</t>
        </is>
      </c>
      <c r="B35" s="10" t="inlineStr">
        <is>
          <t>H2</t>
        </is>
      </c>
      <c r="C35" s="10" t="inlineStr">
        <is>
          <t>¿Lo imaginas en tu negocio?</t>
        </is>
      </c>
      <c r="D35" s="10" t="inlineStr">
        <is>
          <t>Cotiza el café de tu negocio en 1 minuto</t>
        </is>
      </c>
      <c r="E35" s="6" t="inlineStr">
        <is>
          <t>tarea: cotizar</t>
        </is>
      </c>
    </row>
    <row r="36">
      <c r="A36" s="5" t="inlineStr">
        <is>
          <t>C07 (indexable)</t>
        </is>
      </c>
      <c r="B36" s="10" t="inlineStr">
        <is>
          <t>H1 / H2</t>
        </is>
      </c>
      <c r="C36" s="10" t="inlineStr">
        <is>
          <t>Cotiza tu máquina por tipo de solución · 1 Máquina · 2 Modalidad · 3 Tu consumo · 4 Servicios</t>
        </is>
      </c>
      <c r="D36" s="10" t="inlineStr">
        <is>
          <t>Cotiza tu máquina de café para empresas · Elige la máquina de café · Arriendo o compra directa · Calcula tu consumo de café · Servicios para eventos y catering</t>
        </is>
      </c>
      <c r="E36" s="6" t="inlineStr">
        <is>
          <t>cotizar máquina de café (transaccional)</t>
        </is>
      </c>
    </row>
    <row r="37">
      <c r="A37" s="5" t="inlineStr">
        <is>
          <t>C08 (indexable)</t>
        </is>
      </c>
      <c r="B37" s="10" t="inlineStr">
        <is>
          <t>H1 / H2</t>
        </is>
      </c>
      <c r="C37" s="10" t="inlineStr">
        <is>
          <t>Así se vive Marley Coffee en tu negocio · Un café para todo el día del huésped</t>
        </is>
      </c>
      <c r="D37" s="10" t="inlineStr">
        <is>
          <t>Casos de café para empresas · Así se vive… / H2 con primera línea «Café para hoteles» (cambia con la pestaña)</t>
        </is>
      </c>
      <c r="E37" s="6" t="inlineStr">
        <is>
          <t>casos de café por tipo de negocio</t>
        </is>
      </c>
    </row>
    <row r="38">
      <c r="A38" s="7" t="inlineStr">
        <is>
          <t>C03–C06, C09 (privadas, noindex)</t>
        </is>
      </c>
      <c r="B38" s="14" t="inlineStr">
        <is>
          <t>Estructura</t>
        </is>
      </c>
      <c r="C38" s="14" t="inlineStr">
        <is>
          <t>H2 antes del H1 (C03); salto H1 → H3 (C06, C09); promesas con nombre</t>
        </is>
      </c>
      <c r="D38" s="14" t="inlineStr">
        <is>
          <t>Un H1 primero, sin saltos de nivel; textos generales («una ejecutiva de tu zona»)</t>
        </is>
      </c>
      <c r="E38" s="8" t="inlineStr">
        <is>
          <t>accesibilidad y orden de lectura</t>
        </is>
      </c>
    </row>
    <row r="39"/>
    <row r="40">
      <c r="A40" s="50" t="inlineStr">
        <is>
          <t>FAQ con respuesta primero (FAQPage)</t>
        </is>
      </c>
    </row>
    <row r="41">
      <c r="A41" s="10" t="inlineStr">
        <is>
          <t>¿Puedo arrendar o comprar la máquina?</t>
        </is>
      </c>
      <c r="B41" s="10" t="str">
        <v>La máquina se presta en comodato con compra mensual de insumos. La carga inicial de referencia para bajo/medio flujo es1.491.220CLP netos, antes de instalar. Modelo, formatos, compatibilidad, mínimo mensual y precios de reposición se confirman con el equipo; no se vende ni arrienda la máquina.</v>
      </c>
    </row>
    <row r="42">
      <c r="A42" s="10" t="inlineStr">
        <is>
          <t>¿Qué máquina de café conviene para un hotel?</t>
        </is>
      </c>
      <c r="B42" s="10" t="inlineStr">
        <is>
          <t>Bar para el desayuno con barista, Pods para habitaciones o room service y Oficina para un buffet de autoservicio. La propuesta sale al instante con 3 pasos (tu negocio, tu local y cómo sirves).</t>
        </is>
      </c>
    </row>
    <row r="43">
      <c r="A43" s="10" t="inlineStr">
        <is>
          <t>¿Cuánto cuesta una taza de café para mi negocio?</t>
        </is>
      </c>
      <c r="B43" s="10" t="inlineStr">
        <is>
          <t>Entre $180 y $390 por taza según el formato: grano rinde unas 110 tazas por kilo y cada pod es una taza. Son precios supuestos para este prototipo.</t>
        </is>
      </c>
    </row>
    <row r="44">
      <c r="A44" s="10" t="inlineStr">
        <is>
          <t>¿Despachan café a empresas fuera de Santiago?</t>
        </is>
      </c>
      <c r="B44" s="10" t="inlineStr">
        <is>
          <t>Sí. En la Región Metropolitana el despacho va por ruta según la comuna; en regiones, por transporte, con plazo de 72 a 96 horas según el caso.</t>
        </is>
      </c>
    </row>
    <row r="45">
      <c r="A45" s="10" t="inlineStr">
        <is>
          <t>¿Puedo hablar con una persona antes de cotizar?</t>
        </is>
      </c>
      <c r="B45" s="10" t="inlineStr">
        <is>
          <t>Sí. El chat te orienta y la ejecutiva de tu zona responde por correo con tu diagnóstico para que no repitas nada.</t>
        </is>
      </c>
    </row>
    <row r="46">
      <c r="A46" s="10" t="inlineStr">
        <is>
          <t>¿Hacen eventos y catering con la marca Marley Coffee?</t>
        </is>
      </c>
      <c r="B46" s="10" t="inlineStr">
        <is>
          <t>Sí: Coffee Experience para eventos, catering con branding, puntos de activación y material POP para tu local.</t>
        </is>
      </c>
    </row>
    <row r="47">
      <c r="A47" s="10" t="inlineStr">
        <is>
          <t>¿El café Marley Coffee es orgánico?</t>
        </is>
      </c>
      <c r="B47" s="10" t="inlineStr">
        <is>
          <t>Parte del catálogo es orgánico certificado, como Keep On Moving en grano y molido.</t>
        </is>
      </c>
    </row>
  </sheetData>
  <mergeCells count="1">
    <mergeCell ref="A2:E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3.xml><?xml version="1.0" encoding="utf-8"?>
<worksheet xmlns="http://schemas.openxmlformats.org/spreadsheetml/2006/main">
  <sheetPr>
    <tabColor rgb="005E7E29"/>
    <outlinePr summaryBelow="1" summaryRight="1"/>
    <pageSetUpPr fitToPage="1"/>
  </sheetPr>
  <dimension ref="A1:I21"/>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16" customWidth="1" min="2" max="2"/>
    <col width="38" customWidth="1" min="3" max="3"/>
    <col width="40" customWidth="1" min="4" max="4"/>
    <col width="46" customWidth="1" min="5" max="5"/>
    <col width="30" customWidth="1" min="6" max="6"/>
    <col width="26" customWidth="1" min="7" max="7"/>
    <col width="9" customWidth="1" min="8" max="8"/>
    <col width="18" customWidth="1" min="9" max="9"/>
  </cols>
  <sheetData>
    <row r="1" ht="28" customHeight="1">
      <c r="A1" s="1" t="inlineStr">
        <is>
          <t>Cambios después del test con usuarios (v5 → v6)</t>
        </is>
      </c>
      <c r="B1" s="2" t="n"/>
      <c r="C1" s="2" t="n"/>
      <c r="D1" s="2" t="n"/>
      <c r="E1" s="2" t="n"/>
      <c r="F1" s="2" t="n"/>
      <c r="G1" s="2" t="n"/>
      <c r="H1" s="2" t="n"/>
      <c r="I1" s="2" t="n"/>
    </row>
    <row r="2" ht="16" customHeight="1">
      <c r="A2" s="3" t="inlineStr">
        <is>
          <t>Cada cambio sale de un problema observado el 15-10-2026 (participantes con código) y de las notas del moderador. La meta se mide en la ronda 2 con 2 o 3 personas. Fuente: análisis del test (6_TEST_USABILIDAD) y hojas 08 a 10.</t>
        </is>
      </c>
    </row>
    <row r="3"/>
    <row r="4" ht="30" customHeight="1">
      <c r="A4" s="4" t="inlineStr">
        <is>
          <t>ID</t>
        </is>
      </c>
      <c r="B4" s="4" t="inlineStr">
        <is>
          <t>Pantalla</t>
        </is>
      </c>
      <c r="C4" s="4" t="inlineStr">
        <is>
          <t>Problema observado</t>
        </is>
      </c>
      <c r="D4" s="4" t="inlineStr">
        <is>
          <t>Evidencia</t>
        </is>
      </c>
      <c r="E4" s="4" t="inlineStr">
        <is>
          <t>Cambio aplicado en v6</t>
        </is>
      </c>
      <c r="F4" s="4" t="inlineStr">
        <is>
          <t>Cómo se mide en la ronda 2</t>
        </is>
      </c>
      <c r="G4" s="4" t="inlineStr">
        <is>
          <t>Meta</t>
        </is>
      </c>
      <c r="H4" s="4" t="inlineStr">
        <is>
          <t>Hallazgo</t>
        </is>
      </c>
      <c r="I4" s="4" t="inlineStr">
        <is>
          <t>Estado</t>
        </is>
      </c>
    </row>
    <row r="5">
      <c r="A5" s="5" t="inlineStr">
        <is>
          <t>M01</t>
        </is>
      </c>
      <c r="B5" s="10" t="inlineStr">
        <is>
          <t>C01 tienda</t>
        </is>
      </c>
      <c r="C5" s="10" t="inlineStr">
        <is>
          <t>Empresas escondida en el menú del celular</t>
        </is>
      </c>
      <c r="D5" s="10" t="inlineStr">
        <is>
          <t>2 de 2 en celular no hallaron el menú (P2, P3)</t>
        </is>
      </c>
      <c r="E5" s="10" t="inlineStr">
        <is>
          <t>«MENÚ» bajo el ícono y franja «¿Compras para tu negocio? Empresas →»</t>
        </is>
      </c>
      <c r="F5" s="10" t="inlineStr">
        <is>
          <t>Segundos hasta Empresas en celular</t>
        </is>
      </c>
      <c r="G5" s="10" t="inlineStr">
        <is>
          <t>≤ 10 s, sin ayuda</t>
        </is>
      </c>
      <c r="H5" s="10" t="inlineStr">
        <is>
          <t>H22</t>
        </is>
      </c>
      <c r="I5" s="6" t="inlineStr">
        <is>
          <t>Aplicado</t>
        </is>
      </c>
    </row>
    <row r="6">
      <c r="A6" s="5" t="inlineStr">
        <is>
          <t>M02</t>
        </is>
      </c>
      <c r="B6" s="10" t="inlineStr">
        <is>
          <t>C02 → C03</t>
        </is>
      </c>
      <c r="C6" s="10" t="inlineStr">
        <is>
          <t>El formulario era lento (44 a 50 s)</t>
        </is>
      </c>
      <c r="D6" s="10" t="inlineStr">
        <is>
          <t>Formulario: 44 a 50 s, ¼ del recorrido (P1, P2, P3)</t>
        </is>
      </c>
      <c r="E6" s="10" t="inlineStr">
        <is>
          <t>Formulario corto al principio (v6.1): 3 datos con +56 9 escrito y la comuna en el paso 2; sigue antes del diagnóstico para recuperar a quien abandona</t>
        </is>
      </c>
      <c r="F6" s="10" t="inlineStr">
        <is>
          <t>Tiempo en los datos y recorrido completo</t>
        </is>
      </c>
      <c r="G6" s="10" t="inlineStr">
        <is>
          <t>Datos ≤ 30 s; recorrido ≤ 150 s</t>
        </is>
      </c>
      <c r="H6" s="10" t="inlineStr">
        <is>
          <t>H23</t>
        </is>
      </c>
      <c r="I6" s="6" t="inlineStr">
        <is>
          <t>Aplicado</t>
        </is>
      </c>
    </row>
    <row r="7">
      <c r="A7" s="5" t="inlineStr">
        <is>
          <t>M03</t>
        </is>
      </c>
      <c r="B7" s="10" t="inlineStr">
        <is>
          <t>C05</t>
        </is>
      </c>
      <c r="C7" s="10" t="inlineStr">
        <is>
          <t>Modalidad y extras llegaban después de la propuesta</t>
        </is>
      </c>
      <c r="D7" s="10" t="inlineStr">
        <is>
          <t>P1 y P3 los querían antes</t>
        </is>
      </c>
      <c r="E7" s="10" t="inlineStr">
        <is>
          <t>Propuesta al instante con la modalidad elegible y extras recomendados apagados</t>
        </is>
      </c>
      <c r="F7" s="10" t="inlineStr">
        <is>
          <t>Personas perdidas entre la solución y la propuesta</t>
        </is>
      </c>
      <c r="G7" s="10" t="inlineStr">
        <is>
          <t>0</t>
        </is>
      </c>
      <c r="H7" s="10" t="inlineStr">
        <is>
          <t>H24</t>
        </is>
      </c>
      <c r="I7" s="6" t="inlineStr">
        <is>
          <t>Aplicado</t>
        </is>
      </c>
    </row>
    <row r="8">
      <c r="A8" s="5" t="inlineStr">
        <is>
          <t>M04</t>
        </is>
      </c>
      <c r="B8" s="10" t="inlineStr">
        <is>
          <t>C06</t>
        </is>
      </c>
      <c r="C8" s="10" t="inlineStr">
        <is>
          <t>No quedaba claro qué seguía</t>
        </is>
      </c>
      <c r="D8" s="10" t="inlineStr">
        <is>
          <t>P2 «se perdió en qué hacer»</t>
        </is>
      </c>
      <c r="E8" s="10" t="inlineStr">
        <is>
          <t>«¡Listo!» con quién escribe, por dónde, cuándo y 3 pasos</t>
        </is>
      </c>
      <c r="F8" s="10" t="inlineStr">
        <is>
          <t>«¿Y ahora qué?» en la ronda 2</t>
        </is>
      </c>
      <c r="G8" s="10" t="inlineStr">
        <is>
          <t>0</t>
        </is>
      </c>
      <c r="H8" s="10" t="inlineStr">
        <is>
          <t>H25</t>
        </is>
      </c>
      <c r="I8" s="6" t="inlineStr">
        <is>
          <t>Aplicado</t>
        </is>
      </c>
    </row>
    <row r="9">
      <c r="A9" s="5" t="inlineStr">
        <is>
          <t>M05</t>
        </is>
      </c>
      <c r="B9" s="10" t="inlineStr">
        <is>
          <t>C07</t>
        </is>
      </c>
      <c r="C9" s="10" t="inlineStr">
        <is>
          <t>Espera de «nueva propuesta» y precios poco visibles</t>
        </is>
      </c>
      <c r="D9" s="10" t="inlineStr">
        <is>
          <t>P3: espera inútil; C07 57,3 s</t>
        </is>
      </c>
      <c r="E9" s="10" t="inlineStr">
        <is>
          <t>Ajustes al instante; precio mensual grande y en color</t>
        </is>
      </c>
      <c r="F9" s="10" t="inlineStr">
        <is>
          <t>Tiempo en la propuesta; precio encontrado sin ayuda</t>
        </is>
      </c>
      <c r="G9" s="10" t="inlineStr">
        <is>
          <t>≤ 30 s; sí</t>
        </is>
      </c>
      <c r="H9" s="10" t="inlineStr">
        <is>
          <t>H25, H30</t>
        </is>
      </c>
      <c r="I9" s="6" t="inlineStr">
        <is>
          <t>Aplicado</t>
        </is>
      </c>
    </row>
    <row r="10">
      <c r="A10" s="5" t="inlineStr">
        <is>
          <t>M06</t>
        </is>
      </c>
      <c r="B10" s="10" t="inlineStr">
        <is>
          <t>R02 conversación</t>
        </is>
      </c>
      <c r="C10" s="10" t="inlineStr">
        <is>
          <t>La ejecutiva no veía lo cotizado ni una propuesta sugerida</t>
        </is>
      </c>
      <c r="D10" s="10" t="inlineStr">
        <is>
          <t>P4 no logró T7 (facilidad 2, SUS 27,5)</t>
        </is>
      </c>
      <c r="E10" s="10" t="inlineStr">
        <is>
          <t>«Lo que cotizó el cliente» en vivo y tarjeta del agente con «Enviar propuesta sugerida»</t>
        </is>
      </c>
      <c r="F10" s="10" t="inlineStr">
        <is>
          <t>T7 sin ayuda y facilidad</t>
        </is>
      </c>
      <c r="G10" s="10" t="inlineStr">
        <is>
          <t>Logrado; facilidad ≥ 5</t>
        </is>
      </c>
      <c r="H10" s="10" t="inlineStr">
        <is>
          <t>H31</t>
        </is>
      </c>
      <c r="I10" s="6" t="inlineStr">
        <is>
          <t>Aplicado</t>
        </is>
      </c>
    </row>
    <row r="11">
      <c r="A11" s="5" t="inlineStr">
        <is>
          <t>M07</t>
        </is>
      </c>
      <c r="B11" s="10" t="inlineStr">
        <is>
          <t>CRM</t>
        </is>
      </c>
      <c r="C11" s="10" t="inlineStr">
        <is>
          <t>Botones sin jerarquía y toques que caían entre botones</t>
        </is>
      </c>
      <c r="D11" s="10" t="inlineStr">
        <is>
          <t>P4 y P5; toques entre «Llamar» y «Preparar propuesta»</t>
        </is>
      </c>
      <c r="E11" s="10" t="inlineStr">
        <is>
          <t>Principal en amarillo; secundarias con contorno; 44 px y 8 px de separación; la onda ya no agranda el botón</t>
        </is>
      </c>
      <c r="F11" s="10" t="inlineStr">
        <is>
          <t>Toques sin respuesta</t>
        </is>
      </c>
      <c r="G11" s="10" t="inlineStr">
        <is>
          <t>≤ 10 %</t>
        </is>
      </c>
      <c r="H11" s="10" t="inlineStr">
        <is>
          <t>H32, H33</t>
        </is>
      </c>
      <c r="I11" s="6" t="inlineStr">
        <is>
          <t>Aplicado</t>
        </is>
      </c>
    </row>
    <row r="12">
      <c r="A12" s="5" t="inlineStr">
        <is>
          <t>M08</t>
        </is>
      </c>
      <c r="B12" s="10" t="inlineStr">
        <is>
          <t>CRM</t>
        </is>
      </c>
      <c r="C12" s="10" t="inlineStr">
        <is>
          <t>Cosas con aspecto de botón que no hacían nada</t>
        </is>
      </c>
      <c r="D12" s="10" t="inlineStr">
        <is>
          <t>19 de 33 toques sin respuesta (58 %)</t>
        </is>
      </c>
      <c r="E12" s="10" t="inlineStr">
        <is>
          <t>Campana con avisos, tarjeta que abre la ficha, indicadores con detalle</t>
        </is>
      </c>
      <c r="F12" s="10" t="inlineStr">
        <is>
          <t>Toques sin respuesta</t>
        </is>
      </c>
      <c r="G12" s="10" t="inlineStr">
        <is>
          <t>≤ 10 %</t>
        </is>
      </c>
      <c r="H12" s="10" t="inlineStr">
        <is>
          <t>H32</t>
        </is>
      </c>
      <c r="I12" s="6" t="inlineStr">
        <is>
          <t>Aplicado</t>
        </is>
      </c>
    </row>
    <row r="13">
      <c r="A13" s="5" t="inlineStr">
        <is>
          <t>M09</t>
        </is>
      </c>
      <c r="B13" s="10" t="inlineStr">
        <is>
          <t>R05 jefatura</t>
        </is>
      </c>
      <c r="C13" s="10" t="inlineStr">
        <is>
          <t>Panel sin jerarquía, sin detalle ni cruces; en celular se perdían los gráficos</t>
        </is>
      </c>
      <c r="D13" s="10" t="inlineStr">
        <is>
          <t>P5 tocó 10 indicadores en 11 s</t>
        </is>
      </c>
      <c r="E13" s="10" t="inlineStr">
        <is>
          <t>3 indicadores principales con color, filtros de período y zona, detalle al tocar, gráficos y agentes en celular</t>
        </is>
      </c>
      <c r="F13" s="10" t="inlineStr">
        <is>
          <t>Tiempo de T9 y facilidad</t>
        </is>
      </c>
      <c r="G13" s="10" t="inlineStr">
        <is>
          <t>≤ 45 s; facilidad ≥ 6</t>
        </is>
      </c>
      <c r="H13" s="10" t="inlineStr">
        <is>
          <t>H33, H34</t>
        </is>
      </c>
      <c r="I13" s="6" t="inlineStr">
        <is>
          <t>Aplicado</t>
        </is>
      </c>
    </row>
    <row r="14">
      <c r="A14" s="5" t="inlineStr">
        <is>
          <t>M10</t>
        </is>
      </c>
      <c r="B14" s="10" t="inlineStr">
        <is>
          <t>R00 ingreso</t>
        </is>
      </c>
      <c r="C14" s="10" t="inlineStr">
        <is>
          <t>El usuario escrito no entraba</t>
        </is>
      </c>
      <c r="D14" s="10" t="inlineStr">
        <is>
          <t>P5: 2 intentos, 24 s</t>
        </is>
      </c>
      <c r="E14" s="10" t="inlineStr">
        <is>
          <t>Sin distinguir mayúsculas, tildes, espacios ni dominio; cuentas de un toque</t>
        </is>
      </c>
      <c r="F14" s="10" t="inlineStr">
        <is>
          <t>Ingreso al primer intento</t>
        </is>
      </c>
      <c r="G14" s="10" t="inlineStr">
        <is>
          <t>≤ 10 s</t>
        </is>
      </c>
      <c r="H14" s="10" t="inlineStr">
        <is>
          <t>H35</t>
        </is>
      </c>
      <c r="I14" s="6" t="inlineStr">
        <is>
          <t>Aplicado</t>
        </is>
      </c>
    </row>
    <row r="15">
      <c r="A15" s="5" t="inlineStr">
        <is>
          <t>M11</t>
        </is>
      </c>
      <c r="B15" s="10" t="inlineStr">
        <is>
          <t>C02 Empresas</t>
        </is>
      </c>
      <c r="C15" s="10" t="inlineStr">
        <is>
          <t>Solución arriba, 3 escenas y tarjetas que no respondían</t>
        </is>
      </c>
      <c r="D15" s="10" t="inlineStr">
        <is>
          <t>P2 y P3</t>
        </is>
      </c>
      <c r="E15" s="10" t="inlineStr">
        <is>
          <t>Máquinas primero, 2 momentos, «Ver mi solución» después de las máquinas, soluciones que se pueden tocar; cada negocio ve lo suyo</t>
        </is>
      </c>
      <c r="F15" s="10" t="inlineStr">
        <is>
          <t>Toques sin respuesta en C02</t>
        </is>
      </c>
      <c r="G15" s="10" t="inlineStr">
        <is>
          <t>0</t>
        </is>
      </c>
      <c r="H15" s="10" t="inlineStr">
        <is>
          <t>H26, H27</t>
        </is>
      </c>
      <c r="I15" s="6" t="inlineStr">
        <is>
          <t>Aplicado</t>
        </is>
      </c>
    </row>
    <row r="16">
      <c r="A16" s="5" t="inlineStr">
        <is>
          <t>M12</t>
        </is>
      </c>
      <c r="B16" s="10" t="inlineStr">
        <is>
          <t>C04 diagnóstico</t>
        </is>
      </c>
      <c r="C16" s="10" t="inlineStr">
        <is>
          <t>Preguntas largas y sin «Todas»</t>
        </is>
      </c>
      <c r="D16" s="10" t="inlineStr">
        <is>
          <t>P1 y P2: 13 a 14 toques en las bebidas</t>
        </is>
      </c>
      <c r="E16" s="10" t="inlineStr">
        <is>
          <t>3 pasos, negocio que no se repite, lo típico marcado, «Todas» y vista que sube</t>
        </is>
      </c>
      <c r="F16" s="10" t="inlineStr">
        <is>
          <t>Tiempo y toques en los pasos</t>
        </is>
      </c>
      <c r="G16" s="10" t="inlineStr">
        <is>
          <t>≤ 25 s y ≤ 8 toques</t>
        </is>
      </c>
      <c r="H16" s="10" t="inlineStr">
        <is>
          <t>H28, H29</t>
        </is>
      </c>
      <c r="I16" s="6" t="inlineStr">
        <is>
          <t>Aplicado</t>
        </is>
      </c>
    </row>
    <row r="17">
      <c r="A17" s="5" t="inlineStr">
        <is>
          <t>M13</t>
        </is>
      </c>
      <c r="B17" s="10" t="inlineStr">
        <is>
          <t>R02</t>
        </is>
      </c>
      <c r="C17" s="10" t="inlineStr">
        <is>
          <t>Pidió un mini tutorial</t>
        </is>
      </c>
      <c r="D17" s="10" t="inlineStr">
        <is>
          <t>P4</t>
        </is>
      </c>
      <c r="E17" s="10" t="inlineStr">
        <is>
          <t>Guía de 3 pasos que se marca sola y se cierra</t>
        </is>
      </c>
      <c r="F17" s="10" t="inlineStr">
        <is>
          <t>T7 sin ayuda</t>
        </is>
      </c>
      <c r="G17" s="10" t="inlineStr">
        <is>
          <t>Logrado</t>
        </is>
      </c>
      <c r="H17" s="10" t="inlineStr">
        <is>
          <t>H36</t>
        </is>
      </c>
      <c r="I17" s="6" t="inlineStr">
        <is>
          <t>Aplicado</t>
        </is>
      </c>
    </row>
    <row r="18">
      <c r="A18" s="5" t="inlineStr">
        <is>
          <t>M14</t>
        </is>
      </c>
      <c r="B18" s="10" t="inlineStr">
        <is>
          <t>R02</t>
        </is>
      </c>
      <c r="C18" s="10" t="inlineStr">
        <is>
          <t>Chat chico</t>
        </is>
      </c>
      <c r="D18" s="10" t="inlineStr">
        <is>
          <t>P4</t>
        </is>
      </c>
      <c r="E18" s="10" t="inlineStr">
        <is>
          <t>Chat de 438 a 732 px de ancho; en celular a todo el ancho</t>
        </is>
      </c>
      <c r="F18" s="10" t="inlineStr">
        <is>
          <t>Facilidad de T7</t>
        </is>
      </c>
      <c r="G18" s="10" t="inlineStr">
        <is>
          <t>≥ 5</t>
        </is>
      </c>
      <c r="H18" s="10" t="inlineStr">
        <is>
          <t>H36</t>
        </is>
      </c>
      <c r="I18" s="6" t="inlineStr">
        <is>
          <t>Aplicado</t>
        </is>
      </c>
    </row>
    <row r="19">
      <c r="A19" s="5" t="inlineStr">
        <is>
          <t>M15</t>
        </is>
      </c>
      <c r="B19" s="10" t="inlineStr">
        <is>
          <t>Test</t>
        </is>
      </c>
      <c r="C19" s="10" t="inlineStr">
        <is>
          <t>El informe del test cortaba la línea de tiempo y medía botón por botón</t>
        </is>
      </c>
      <c r="D19" s="10" t="inlineStr">
        <is>
          <t>Notas del moderador y del análisis</t>
        </is>
      </c>
      <c r="E19" s="10" t="inlineStr">
        <is>
          <t>Tiempos por etapa, mapa de calor con toques numerados y línea de tiempo completa en el anexo</t>
        </is>
      </c>
      <c r="F19" s="10" t="inlineStr">
        <is>
          <t>Ronda 2 con el servidor del kit</t>
        </is>
      </c>
      <c r="G19" s="10" t="inlineStr">
        <is>
          <t>Video y CSV guardados</t>
        </is>
      </c>
      <c r="H19" s="10" t="inlineStr">
        <is>
          <t>—</t>
        </is>
      </c>
      <c r="I19" s="6" t="inlineStr">
        <is>
          <t>Aplicado</t>
        </is>
      </c>
    </row>
    <row r="20">
      <c r="A20" s="5" t="inlineStr">
        <is>
          <t>M17</t>
        </is>
      </c>
      <c r="B20" s="10" t="inlineStr">
        <is>
          <t>Todas</t>
        </is>
      </c>
      <c r="C20" s="10" t="inlineStr">
        <is>
          <t>Revisar la versión celular desde el computador</t>
        </is>
      </c>
      <c r="D20" s="10" t="inlineStr">
        <is>
          <t>Pedido del equipo (15-10)</t>
        </is>
      </c>
      <c r="E20" s="10" t="inlineStr">
        <is>
          <t>Botón «Ver en celular» en wireframes, mockups y prototipo: el mismo archivo en 390 × 844</t>
        </is>
      </c>
      <c r="F20" s="10" t="inlineStr">
        <is>
          <t>Ronda 2 en celular</t>
        </is>
      </c>
      <c r="G20" s="10" t="inlineStr">
        <is>
          <t>—</t>
        </is>
      </c>
      <c r="H20" s="10" t="inlineStr">
        <is>
          <t>—</t>
        </is>
      </c>
      <c r="I20" s="6" t="inlineStr">
        <is>
          <t>Aplicado</t>
        </is>
      </c>
    </row>
    <row r="21">
      <c r="A21" s="7" t="inlineStr">
        <is>
          <t>M16</t>
        </is>
      </c>
      <c r="B21" s="14" t="inlineStr">
        <is>
          <t>Ronda 2</t>
        </is>
      </c>
      <c r="C21" s="14" t="inlineStr">
        <is>
          <t>Medir si los cambios funcionaron</t>
        </is>
      </c>
      <c r="D21" s="14" t="inlineStr">
        <is>
          <t>Sin medición no se sabe si mejoró</t>
        </is>
      </c>
      <c r="E21" s="14" t="inlineStr">
        <is>
          <t>Misma tarea con 2 o 3 personas y el kit con servidor</t>
        </is>
      </c>
      <c r="F21" s="14" t="inlineStr">
        <is>
          <t>Las metas de esta hoja</t>
        </is>
      </c>
      <c r="G21" s="14" t="inlineStr">
        <is>
          <t>Cumplir las metas</t>
        </is>
      </c>
      <c r="H21" s="14" t="inlineStr">
        <is>
          <t>—</t>
        </is>
      </c>
      <c r="I21" s="8" t="inlineStr">
        <is>
          <t>Próxima etapa (siguiente evaluación)</t>
        </is>
      </c>
    </row>
  </sheetData>
  <mergeCells count="1">
    <mergeCell ref="A2:I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4.xml><?xml version="1.0" encoding="utf-8"?>
<worksheet xmlns="http://schemas.openxmlformats.org/spreadsheetml/2006/main">
  <sheetPr>
    <tabColor rgb="003F3F40"/>
    <outlinePr summaryBelow="1" summaryRight="1"/>
    <pageSetUpPr fitToPage="1"/>
  </sheetPr>
  <dimension ref="A1:H48"/>
  <sheetViews>
    <sheetView showGridLines="0" zoomScale="90" workbookViewId="0">
      <pane ySplit="4" topLeftCell="A5" activePane="bottomLeft" state="frozen"/>
      <selection pane="bottomLeft" activeCell="A1" sqref="A1"/>
    </sheetView>
  </sheetViews>
  <sheetFormatPr baseColWidth="8" defaultRowHeight="15"/>
  <cols>
    <col width="24" customWidth="1" min="1" max="1"/>
    <col width="38" customWidth="1" min="2" max="2"/>
    <col width="46" customWidth="1" min="3" max="3"/>
    <col width="52" customWidth="1" min="4" max="4"/>
    <col width="48" customWidth="1" min="5" max="5"/>
    <col width="36" customWidth="1" min="6" max="6"/>
    <col width="52" customWidth="1" min="7" max="7"/>
    <col width="28" customWidth="1" min="8" max="8"/>
  </cols>
  <sheetData>
    <row r="1" ht="28" customHeight="1">
      <c r="A1" s="1" t="inlineStr">
        <is>
          <t>Un mismo acompañamiento: del primer mensaje a la postventa</t>
        </is>
      </c>
      <c r="B1" s="2" t="n"/>
      <c r="C1" s="2" t="n"/>
      <c r="D1" s="2" t="n"/>
      <c r="E1" s="2" t="n"/>
      <c r="F1" s="2" t="n"/>
      <c r="G1" s="2" t="n"/>
      <c r="H1" s="2" t="n"/>
    </row>
    <row r="2" ht="16" customHeight="1">
      <c r="A2" s="3" t="inlineStr">
        <is>
          <t>Propuesta de integración para el piloto; no envía mensajes reales. El chat conserva el contexto y la ejecutiva responde por correo. WhatsApp solo atiende postventa iniciada por el cliente.</t>
        </is>
      </c>
    </row>
    <row r="3"/>
    <row r="4" ht="30" customHeight="1">
      <c r="A4" s="4" t="inlineStr">
        <is>
          <t>Momento</t>
        </is>
      </c>
      <c r="B4" s="4" t="inlineStr">
        <is>
          <t>Qué necesita la persona</t>
        </is>
      </c>
      <c r="C4" s="4" t="inlineStr">
        <is>
          <t>Datos mínimos</t>
        </is>
      </c>
      <c r="D4" s="4" t="inlineStr">
        <is>
          <t>Qué hace la IA</t>
        </is>
      </c>
      <c r="E4" s="4" t="inlineStr">
        <is>
          <t>Quién decide o responde</t>
        </is>
      </c>
      <c r="F4" s="4" t="inlineStr">
        <is>
          <t>Siguiente acción</t>
        </is>
      </c>
      <c r="G4" s="4" t="inlineStr">
        <is>
          <t>Recuperación / límite</t>
        </is>
      </c>
      <c r="H4" s="4" t="inlineStr">
        <is>
          <t>Pantallas</t>
        </is>
      </c>
    </row>
    <row r="5" ht="36" customHeight="1">
      <c r="A5" s="5" t="inlineStr">
        <is>
          <t>Explorar y comparar</t>
        </is>
      </c>
      <c r="B5" s="10" t="str">
        <v>Explorar productos y máquinas; entender comodato, carga inicial y reposición por cotizar.</v>
      </c>
      <c r="C5" s="10" t="inlineStr">
        <is>
          <t>Negocio, comuna y consumo aproximado; contacto solo al guardar o pedir seguimiento</t>
        </is>
      </c>
      <c r="D5" s="10" t="inlineStr">
        <is>
          <t>Explica la recomendación con sus supuestos y conserva la selección</t>
        </is>
      </c>
      <c r="E5" s="10" t="inlineStr">
        <is>
          <t>Ejecutiva de zona revisa precio, cobertura y condiciones</t>
        </is>
      </c>
      <c r="F5" s="10" t="inlineStr">
        <is>
          <t>Ver propuesta; hablar con una persona</t>
        </is>
      </c>
      <c r="G5" s="10" t="inlineStr">
        <is>
          <t>Si falta dato o el modelo no sabe: reconocerlo y ofrecer traspaso</t>
        </is>
      </c>
      <c r="H5" s="6" t="inlineStr">
        <is>
          <t>C02–C07; R02; R04</t>
        </is>
      </c>
    </row>
    <row r="6" ht="36" customHeight="1">
      <c r="A6" s="5" t="inlineStr">
        <is>
          <t>Contratar</t>
        </is>
      </c>
      <c r="B6" s="10" t="inlineStr">
        <is>
          <t>Ajustar y confirmar la propuesta</t>
        </is>
      </c>
      <c r="C6" s="10" t="inlineStr">
        <is>
          <t>Referencia de propuesta y cambios solicitados</t>
        </is>
      </c>
      <c r="D6" s="10" t="inlineStr">
        <is>
          <t>Prepara resumen de máquina, modalidad, consumo y extras elegidos</t>
        </is>
      </c>
      <c r="E6" s="10" t="inlineStr">
        <is>
          <t>Ejecutiva confirma la oferta y condiciones; cliente acepta expresamente</t>
        </is>
      </c>
      <c r="F6" s="10" t="inlineStr">
        <is>
          <t>Revisar resumen antes de aceptar</t>
        </is>
      </c>
      <c r="G6" s="10" t="inlineStr">
        <is>
          <t>Sin aceptación no hay contratación ni reserva definitiva</t>
        </is>
      </c>
      <c r="H6" s="6" t="inlineStr">
        <is>
          <t>C05–C06; R02; R08</t>
        </is>
      </c>
    </row>
    <row r="7" ht="36" customHeight="1">
      <c r="A7" s="5" t="inlineStr">
        <is>
          <t>Instalar y comenzar</t>
        </is>
      </c>
      <c r="B7" s="10" t="inlineStr">
        <is>
          <t>Consultar entrega, instalación y capacitación</t>
        </is>
      </c>
      <c r="C7" s="10" t="inlineStr">
        <is>
          <t>Cuenta autenticada, sucursal y referencia de pedido</t>
        </is>
      </c>
      <c r="D7" s="10" t="inlineStr">
        <is>
          <t>Lee estado disponible en sistema, muestra fecha de actualización y registra consulta</t>
        </is>
      </c>
      <c r="E7" s="10" t="inlineStr">
        <is>
          <t>Logística o postventa confirma agenda y responsables</t>
        </is>
      </c>
      <c r="F7" s="10" t="inlineStr">
        <is>
          <t>Ver seguimiento; pedir ayuda</t>
        </is>
      </c>
      <c r="G7" s="10" t="inlineStr">
        <is>
          <t>Sin fecha confirmada: mostrar por confirmar y crear tarea</t>
        </is>
      </c>
      <c r="H7" s="6" t="inlineStr">
        <is>
          <t>C09; R02; R04; R10</t>
        </is>
      </c>
    </row>
    <row r="8" ht="36" customHeight="1">
      <c r="A8" s="5" t="inlineStr">
        <is>
          <t>Reponer café</t>
        </is>
      </c>
      <c r="B8" s="10" t="inlineStr">
        <is>
          <t>Repetir un pedido con cambios opcionales</t>
        </is>
      </c>
      <c r="C8" s="10" t="inlineStr">
        <is>
          <t>Cuenta autenticada, sucursal, pedido anterior y cantidades</t>
        </is>
      </c>
      <c r="D8" s="10" t="inlineStr">
        <is>
          <t>Propone borrador con cantidades, precio disponible y dirección</t>
        </is>
      </c>
      <c r="E8" s="10" t="inlineStr">
        <is>
          <t>Ejecutiva valida excepciones; cliente confirma antes de generar pedido</t>
        </is>
      </c>
      <c r="F8" s="10" t="inlineStr">
        <is>
          <t>Revisar pedido; confirmar pedido</t>
        </is>
      </c>
      <c r="G8" s="10" t="inlineStr">
        <is>
          <t>Incidencia crítica: pausar venta y ofrecer atención; sin stock, sugerir alternativa sin imponer</t>
        </is>
      </c>
      <c r="H8" s="6" t="inlineStr">
        <is>
          <t>C09; R02; R04; R10</t>
        </is>
      </c>
    </row>
    <row r="9" ht="36" customHeight="1">
      <c r="A9" s="5" t="inlineStr">
        <is>
          <t>Resolver un problema</t>
        </is>
      </c>
      <c r="B9" s="10" t="inlineStr">
        <is>
          <t>Máquina detenida, pedido incompleto o retraso</t>
        </is>
      </c>
      <c r="C9" s="10" t="inlineStr">
        <is>
          <t>Cuenta y sucursal, equipo o pedido, descripción; imagen opcional</t>
        </is>
      </c>
      <c r="D9" s="10" t="inlineStr">
        <is>
          <t>Clasifica, crea ticket y entrega número; no da instrucciones técnicas riesgosas</t>
        </is>
      </c>
      <c r="E9" s="10" t="inlineStr">
        <is>
          <t>Postventa toma el caso y coordina con servicio o logística</t>
        </is>
      </c>
      <c r="F9" s="10" t="inlineStr">
        <is>
          <t>Ver mi caso; hablar con postventa</t>
        </is>
      </c>
      <c r="G9" s="10" t="inlineStr">
        <is>
          <t>Fuera de horario: caso guardado y disponibilidad por confirmar; urgencia operativa se escala</t>
        </is>
      </c>
      <c r="H9" s="6" t="inlineStr">
        <is>
          <t>C09; R02; R04; R07</t>
        </is>
      </c>
    </row>
    <row r="10" ht="36" customHeight="1">
      <c r="A10" s="7" t="inlineStr">
        <is>
          <t>Cerrar y acompañar</t>
        </is>
      </c>
      <c r="B10" s="14" t="inlineStr">
        <is>
          <t>Confirmar solución, evaluar atención y decidir próxima acción</t>
        </is>
      </c>
      <c r="C10" s="14" t="inlineStr">
        <is>
          <t>Ticket y confirmación del cliente; encuesta breve opcional</t>
        </is>
      </c>
      <c r="D10" s="14" t="inlineStr">
        <is>
          <t>Resume la solución y pregunta si quedó resuelto</t>
        </is>
      </c>
      <c r="E10" s="14" t="inlineStr">
        <is>
          <t>Responsable verifica cierre; si no está resuelto, reabre y conserva historial</t>
        </is>
      </c>
      <c r="F10" s="14" t="inlineStr">
        <is>
          <t>Sí, quedó resuelto; sigo con el problema</t>
        </is>
      </c>
      <c r="G10" s="14" t="inlineStr">
        <is>
          <t>Sin respuesta: seguimiento pendiente, no cierre automático; venta se reactiva tras resolución</t>
        </is>
      </c>
      <c r="H10" s="8" t="inlineStr">
        <is>
          <t>C09; R02; R04; R07</t>
        </is>
      </c>
    </row>
    <row r="11" ht="23" customHeight="1"/>
    <row r="12" ht="30" customHeight="1">
      <c r="A12" s="4" t="inlineStr">
        <is>
          <t>Estado</t>
        </is>
      </c>
      <c r="B12" s="4" t="inlineStr">
        <is>
          <t>Cómo entra</t>
        </is>
      </c>
      <c r="C12" s="4" t="inlineStr">
        <is>
          <t>Qué ve la persona</t>
        </is>
      </c>
      <c r="D12" s="4" t="inlineStr">
        <is>
          <t>Control</t>
        </is>
      </c>
    </row>
    <row r="13" ht="36" customHeight="1">
      <c r="A13" s="5" t="inlineStr">
        <is>
          <t>Asistente IA</t>
        </is>
      </c>
      <c r="B13" s="10" t="inlineStr">
        <is>
          <t>Inicio de conversación</t>
        </is>
      </c>
      <c r="C13" s="10" t="inlineStr">
        <is>
          <t>Identidad de IA visible, contexto y botón Hablar con una persona</t>
        </is>
      </c>
      <c r="D13" s="6" t="inlineStr">
        <is>
          <t>IA puede explicar y preparar; no confirmar compromisos comerciales</t>
        </is>
      </c>
    </row>
    <row r="14" ht="36" customHeight="1">
      <c r="A14" s="5" t="inlineStr">
        <is>
          <t>Traspaso solicitado</t>
        </is>
      </c>
      <c r="B14" s="10" t="inlineStr">
        <is>
          <t>El cliente lo pide o la IA no puede resolver</t>
        </is>
      </c>
      <c r="C14" s="10" t="inlineStr">
        <is>
          <t>Resumen de intención, selección, gestiones, permiso y último mensaje</t>
        </is>
      </c>
      <c r="D14" s="6" t="inlineStr">
        <is>
          <t>IA pausa respuestas autónomas y se crea tarea asignable</t>
        </is>
      </c>
    </row>
    <row r="15" ht="36" customHeight="1">
      <c r="A15" s="5" t="inlineStr">
        <is>
          <t>En espera de persona</t>
        </is>
      </c>
      <c r="B15" s="10" t="inlineStr">
        <is>
          <t>No hay responsable disponible</t>
        </is>
      </c>
      <c r="C15" s="10" t="inlineStr">
        <is>
          <t>Caso registrado y respuesta comercial por correo; disponibilidad por confirmar</t>
        </is>
      </c>
      <c r="D15" s="6" t="inlineStr">
        <is>
          <t>No simular ejecutivo conectado ni prometer plazo sin agenda real</t>
        </is>
      </c>
    </row>
    <row r="16" ht="36" customHeight="1">
      <c r="A16" s="5" t="inlineStr">
        <is>
          <t>Atención humana</t>
        </is>
      </c>
      <c r="B16" s="10" t="inlineStr">
        <is>
          <t>Una persona toma la conversación en el CRM</t>
        </is>
      </c>
      <c r="C16" s="10" t="inlineStr">
        <is>
          <t>Nombre y rol del responsable; mismo historial y próximos pasos</t>
        </is>
      </c>
      <c r="D16" s="6" t="inlineStr">
        <is>
          <t>Bloqueo de doble respuesta IA/humano; la persona libera expresamente la atención</t>
        </is>
      </c>
    </row>
    <row r="17" ht="36" customHeight="1">
      <c r="A17" s="5" t="inlineStr">
        <is>
          <t>Esperando cliente</t>
        </is>
      </c>
      <c r="B17" s="10" t="inlineStr">
        <is>
          <t>Se requiere aprobación o un dato</t>
        </is>
      </c>
      <c r="C17" s="10" t="inlineStr">
        <is>
          <t>Una pregunta o un resumen para confirmar; avance guardado</t>
        </is>
      </c>
      <c r="D17" s="6" t="inlineStr">
        <is>
          <t>No emitir pedido, cambiar dirección ni contratar sin confirmación</t>
        </is>
      </c>
    </row>
    <row r="18" ht="36" customHeight="1">
      <c r="A18" s="5" t="inlineStr">
        <is>
          <t>Caso resuelto</t>
        </is>
      </c>
      <c r="B18" s="10" t="inlineStr">
        <is>
          <t>Solución registrada y confirmada</t>
        </is>
      </c>
      <c r="C18" s="10" t="inlineStr">
        <is>
          <t>Resultado, referencia y opción de reabrir</t>
        </is>
      </c>
      <c r="D18" s="6" t="inlineStr">
        <is>
          <t>Reactivar sugerencias comerciales solo cuando corresponda</t>
        </is>
      </c>
    </row>
    <row r="19" ht="36" customHeight="1">
      <c r="A19" s="7" t="inlineStr">
        <is>
          <t>Baja de comunicaciones</t>
        </is>
      </c>
      <c r="B19" s="14" t="inlineStr">
        <is>
          <t>Solicitud de baja dentro o fuera del canal</t>
        </is>
      </c>
      <c r="C19" s="14" t="inlineStr">
        <is>
          <t>Confirmar baja y permitir atención iniciada por el cliente</t>
        </is>
      </c>
      <c r="D19" s="8" t="inlineStr">
        <is>
          <t>Suprimir mensajes proactivos según alcance solicitado y registrar fecha/finalidad</t>
        </is>
      </c>
    </row>
    <row r="20" ht="23" customHeight="1"/>
    <row r="21" ht="30" customHeight="1">
      <c r="A21" s="4" t="inlineStr">
        <is>
          <t>Componente</t>
        </is>
      </c>
      <c r="B21" s="4" t="inlineStr">
        <is>
          <t>Diseño de la integración</t>
        </is>
      </c>
      <c r="C21" s="4" t="inlineStr">
        <is>
          <t>Fuente / estado</t>
        </is>
      </c>
    </row>
    <row r="22" ht="75" customHeight="1">
      <c r="A22" s="5" t="inlineStr">
        <is>
          <t>Canal y alcance</t>
        </is>
      </c>
      <c r="B22" s="10" t="inlineStr">
        <is>
          <t>Correo para seguimiento comercial y chat web consultivo. WhatsApp Business Platform solo para postventa iniciada por el cliente; cuenta, proveedor y presupuesto por definir. El CRM conserva contexto y responsable.</t>
        </is>
      </c>
      <c r="C22" s="6" t="inlineStr">
        <is>
          <t>Propuesta técnica; no está conectada en esta demostración</t>
        </is>
      </c>
    </row>
    <row r="23" ht="88" customHeight="1">
      <c r="A23" s="5" t="inlineStr">
        <is>
          <t>Entrada y entrega</t>
        </is>
      </c>
      <c r="B23" s="10" t="inlineStr">
        <is>
          <t>Un adaptador recibe eventos y estados de mensajes; registra el evento antes de procesarlo y vincula conversación, cuenta y ticket. Confirma entrega técnica solo si existe evento que la respalde.</t>
        </is>
      </c>
      <c r="C23" s="6" t="inlineStr">
        <is>
          <t>Propuesta de arquitectura a validar con documentación técnica y entorno de prueba de Meta</t>
        </is>
      </c>
    </row>
    <row r="24" ht="101" customHeight="1">
      <c r="A24" s="5" t="inlineStr">
        <is>
          <t>Identidad y aislamiento</t>
        </is>
      </c>
      <c r="B24" s="10" t="inlineStr">
        <is>
          <t>No identificar una cuenta solo por teléfono. Verificar vínculo mediante acceso seguro al portal o método acordado; limitar consultas por cuenta, sucursal y rol. No pedir claves, documentos sensibles ni datos completos de tarjetas en el chat.</t>
        </is>
      </c>
      <c r="C24" s="6" t="inlineStr">
        <is>
          <t>Política WhatsApp, sección 3; diseño de seguridad propuesto</t>
        </is>
      </c>
    </row>
    <row r="25" ht="88" customHeight="1">
      <c r="A25" s="5" t="inlineStr">
        <is>
          <t>Autenticación técnica</t>
        </is>
      </c>
      <c r="B25" s="10" t="inlineStr">
        <is>
          <t>Secretos únicamente en servidor; verificar autenticidad de notificaciones según documentación vigente, usar conexiones cifradas y permisos mínimos. El HTML no lleva claves ni credenciales.</t>
        </is>
      </c>
      <c r="C25" s="6" t="inlineStr">
        <is>
          <t>Diseño propuesto; configuración real pendiente</t>
        </is>
      </c>
    </row>
    <row r="26" ht="101" customHeight="1">
      <c r="A26" s="5" t="inlineStr">
        <is>
          <t>Contrato de evento</t>
        </is>
      </c>
      <c r="B26" s="10" t="inlineStr">
        <is>
          <t>ID externo, conversación, cuenta interna verificada, intención, referencia de propuesta/pedido/ticket, fecha, canal, responsable y estado; permiso guardado por finalidad. Minimizar contenido y fijar retención antes del piloto.</t>
        </is>
      </c>
      <c r="C26" s="6" t="inlineStr">
        <is>
          <t>Contrato propuesto; sin datos personales reales en la entrega académica</t>
        </is>
      </c>
    </row>
    <row r="27" ht="88" customHeight="1">
      <c r="A27" s="5" t="inlineStr">
        <is>
          <t>Idempotencia</t>
        </is>
      </c>
      <c r="B27" s="10" t="inlineStr">
        <is>
          <t>Deduplicar por identificador de evento y usar clave de operación para pedidos/tickets. Un evento repetido no crea dos pedidos ni dos casos; procesar estados fuera de orden sin retroceder indebidamente.</t>
        </is>
      </c>
      <c r="C27" s="6" t="inlineStr">
        <is>
          <t>Criterio técnico propuesto para CRM, ERP y adaptador</t>
        </is>
      </c>
    </row>
    <row r="28" ht="88" customHeight="1">
      <c r="A28" s="5" t="inlineStr">
        <is>
          <t>Reintentos y fallos</t>
        </is>
      </c>
      <c r="B28" s="10" t="inlineStr">
        <is>
          <t>Cola de salida con reintento limitado y espera progresiva; si se agota, tarea visible para una persona. No marcar enviado cuando falló ni repetir el mismo mensaje al recuperar conexión.</t>
        </is>
      </c>
      <c r="C28" s="6" t="inlineStr">
        <is>
          <t>Parámetros y alertas por definir en el piloto</t>
        </is>
      </c>
    </row>
    <row r="29" ht="101" customHeight="1">
      <c r="A29" s="5" t="inlineStr">
        <is>
          <t>Sistemas de negocio</t>
        </is>
      </c>
      <c r="B29" s="10" t="inlineStr">
        <is>
          <t>CRM conserva conversación, responsable y permiso; ERP o plataforma de pedidos confirma stock, precio y operación; sistema de tickets registra incidencia. Si no hay API, usar cola de revisión humana sin inventar confirmación.</t>
        </is>
      </c>
      <c r="C29" s="6" t="inlineStr">
        <is>
          <t>Disponibilidad de API y permisos de Marley Coffee por confirmar</t>
        </is>
      </c>
    </row>
    <row r="30" ht="101" customHeight="1">
      <c r="A30" s="5" t="inlineStr">
        <is>
          <t>Permiso y baja</t>
        </is>
      </c>
      <c r="B30" s="10" t="inlineStr">
        <is>
          <t>El cliente inicia WhatsApp para postventa. Registrar finalidad, origen y retiro; una consulta de servicio no autoriza publicidad. El MVP no inicia mensajes ni campañas por este canal. Seguimiento comercial por correo autorizado.</t>
        </is>
      </c>
      <c r="C30" s="6" t="inlineStr">
        <is>
          <t>Política WhatsApp, sección 1 y buenas prácticas de consentimiento</t>
        </is>
      </c>
    </row>
    <row r="31" ht="114" customHeight="1">
      <c r="A31" s="5" t="inlineStr">
        <is>
          <t>Ventana y plantilla</t>
        </is>
      </c>
      <c r="B31" s="10" t="inlineStr">
        <is>
          <t>Atender solo la postventa que inicia el cliente dentro de las condiciones vigentes del canal. El MVP no inicia ni reabre conversaciones de WhatsApp con plantillas. Si no puede continuar, registrar el caso y ofrecer seguimiento por correo.</t>
        </is>
      </c>
      <c r="C31" s="6" t="inlineStr">
        <is>
          <t>Política WhatsApp, sección 2; vigencia consultada 15-10-2026</t>
        </is>
      </c>
    </row>
    <row r="32" ht="101" customHeight="1">
      <c r="A32" s="5" t="inlineStr">
        <is>
          <t>Control humano</t>
        </is>
      </c>
      <c r="B32" s="10" t="inlineStr">
        <is>
          <t>Escalamiento claro desde la IA a persona, teléfono, correo o soporte web. El cliente puede pedirlo en cualquier momento. Cambios de contrato, excepciones de precio, compensaciones y agenda definitiva requieren al responsable habilitado.</t>
        </is>
      </c>
      <c r="C32" s="6" t="inlineStr">
        <is>
          <t>Política WhatsApp, sección 2; reglas de negocio propuestas</t>
        </is>
      </c>
    </row>
    <row r="33" ht="88" customHeight="1">
      <c r="A33" s="5" t="inlineStr">
        <is>
          <t>Incidencias y venta</t>
        </is>
      </c>
      <c r="B33" s="10" t="inlineStr">
        <is>
          <t>Ticket crítico abierto pausa campañas, ampliación y referidos. La atención de servicio continúa; al resolver se solicita confirmación. Baja de marketing y problema de servicio son controles distintos.</t>
        </is>
      </c>
      <c r="C33" s="6" t="inlineStr">
        <is>
          <t>Regla propuesta de experiencia y automatización W9</t>
        </is>
      </c>
    </row>
    <row r="34" ht="101" customHeight="1">
      <c r="A34" s="7" t="inlineStr">
        <is>
          <t>Costos y disponibilidad</t>
        </is>
      </c>
      <c r="B34" s="14" t="inlineStr">
        <is>
          <t>Verificar tarifas vigentes, categoría de plantilla, disponibilidad del equipo y condiciones del servicio antes del piloto. No se fijan números telefónicos, proveedor, costo ni plazo de respuesta sin confirmación.</t>
        </is>
      </c>
      <c r="C34" s="8" t="inlineStr">
        <is>
          <t>Por definir con Marley Coffee; consulta oficial de precios antes de contratar</t>
        </is>
      </c>
    </row>
    <row r="35" ht="23" customHeight="1"/>
    <row r="36" ht="36" customHeight="1">
      <c r="A36" s="4" t="inlineStr">
        <is>
          <t>Criterio de aceptación</t>
        </is>
      </c>
      <c r="B36" s="4" t="inlineStr">
        <is>
          <t>Caso a recorrer</t>
        </is>
      </c>
      <c r="C36" s="4" t="inlineStr">
        <is>
          <t>Resultado que se exige</t>
        </is>
      </c>
      <c r="D36" s="4" t="inlineStr">
        <is>
          <t>Medición</t>
        </is>
      </c>
    </row>
    <row r="37" ht="49" customHeight="1">
      <c r="A37" s="5" t="inlineStr">
        <is>
          <t>Contexto continuo</t>
        </is>
      </c>
      <c r="B37" s="10" t="inlineStr">
        <is>
          <t>Pasar de propuesta a chat y a persona</t>
        </is>
      </c>
      <c r="C37" s="10" t="inlineStr">
        <is>
          <t>La persona recibe máquina, modalidad, intención, cambios y referencia; el cliente no repite el diagnóstico</t>
        </is>
      </c>
      <c r="D37" s="6" t="inlineStr">
        <is>
          <t>Conversaciones transferidas con contexto completo / transferencias; meta por definir en piloto</t>
        </is>
      </c>
    </row>
    <row r="38" ht="36" customHeight="1">
      <c r="A38" s="5" t="inlineStr">
        <is>
          <t>Control de envío</t>
        </is>
      </c>
      <c r="B38" s="10" t="inlineStr">
        <is>
          <t>Conversación sin permiso, baja o ventana vencida sin plantilla</t>
        </is>
      </c>
      <c r="C38" s="10" t="inlineStr">
        <is>
          <t>Ningún mensaje proactivo sale; se registra el motivo y se ofrece una ruta permitida</t>
        </is>
      </c>
      <c r="D38" s="6" t="inlineStr">
        <is>
          <t>Envíos bloqueados por motivo; 0 envíos no autorizados en pruebas de aceptación</t>
        </is>
      </c>
    </row>
    <row r="39" ht="36" customHeight="1">
      <c r="A39" s="5" t="inlineStr">
        <is>
          <t>Pedido confirmado</t>
        </is>
      </c>
      <c r="B39" s="10" t="inlineStr">
        <is>
          <t>Solicitar reposición y luego cancelar antes de confirmar</t>
        </is>
      </c>
      <c r="C39" s="10" t="inlineStr">
        <is>
          <t>Se conserva solo un borrador; no nace pedido comercial</t>
        </is>
      </c>
      <c r="D39" s="6" t="inlineStr">
        <is>
          <t>Pedidos sin aceptación expresa: 0 en pruebas de aceptación</t>
        </is>
      </c>
    </row>
    <row r="40" ht="36" customHeight="1">
      <c r="A40" s="5" t="inlineStr">
        <is>
          <t>Caso persistente</t>
        </is>
      </c>
      <c r="B40" s="10" t="inlineStr">
        <is>
          <t>Abrir problema, tomarlo una persona y volver al portal</t>
        </is>
      </c>
      <c r="C40" s="10" t="inlineStr">
        <is>
          <t>Mismo ticket, responsable y estado; reapertura disponible</t>
        </is>
      </c>
      <c r="D40" s="6" t="inlineStr">
        <is>
          <t>Casos reabiertos / cerrados y satisfacción de cierre; línea base por levantar</t>
        </is>
      </c>
    </row>
    <row r="41" ht="36" customHeight="1">
      <c r="A41" s="5" t="inlineStr">
        <is>
          <t>Sin duplicados</t>
        </is>
      </c>
      <c r="B41" s="10" t="inlineStr">
        <is>
          <t>Reenviar el mismo evento y simular reconexión</t>
        </is>
      </c>
      <c r="C41" s="10" t="inlineStr">
        <is>
          <t>Un único pedido/ticket y un historial coherente</t>
        </is>
      </c>
      <c r="D41" s="6" t="inlineStr">
        <is>
          <t>Duplicados de operación: 0 en pruebas de aceptación</t>
        </is>
      </c>
    </row>
    <row r="42" ht="36" customHeight="1">
      <c r="A42" s="5" t="inlineStr">
        <is>
          <t>Protección entre cuentas</t>
        </is>
      </c>
      <c r="B42" s="10" t="inlineStr">
        <is>
          <t>Consultar referencia de otra cuenta o sucursal no autorizada</t>
        </is>
      </c>
      <c r="C42" s="10" t="inlineStr">
        <is>
          <t>Acceso rechazado sin revelar datos</t>
        </is>
      </c>
      <c r="D42" s="6" t="inlineStr">
        <is>
          <t>Accesos indebidos: 0 en pruebas de aceptación</t>
        </is>
      </c>
    </row>
    <row r="43" ht="36" customHeight="1">
      <c r="A43" s="5" t="inlineStr">
        <is>
          <t>Atención prioritaria</t>
        </is>
      </c>
      <c r="B43" s="10" t="inlineStr">
        <is>
          <t>Abrir incidencia crítica con campaña activa</t>
        </is>
      </c>
      <c r="C43" s="10" t="inlineStr">
        <is>
          <t>Venta proactiva en pausa; caso asignado a postventa, sin perder atención</t>
        </is>
      </c>
      <c r="D43" s="6" t="inlineStr">
        <is>
          <t>Tiempo hasta toma humana y resolución, por criticidad; línea base y meta por definir</t>
        </is>
      </c>
    </row>
    <row r="44" ht="49" customHeight="1">
      <c r="A44" s="5" t="inlineStr">
        <is>
          <t>Fallo visible</t>
        </is>
      </c>
      <c r="B44" s="10" t="inlineStr">
        <is>
          <t>Simular caída del canal, ERP o falta de ejecutivo</t>
        </is>
      </c>
      <c r="C44" s="10" t="inlineStr">
        <is>
          <t>Estado pendiente real, avance conservado, reintento controlado y alternativa de contacto</t>
        </is>
      </c>
      <c r="D44" s="6" t="inlineStr">
        <is>
          <t>Fallos recuperados y tasa de entrega; línea base por levantar</t>
        </is>
      </c>
    </row>
    <row r="45" ht="36" customHeight="1">
      <c r="A45" s="7" t="inlineStr">
        <is>
          <t>Valor para el cliente</t>
        </is>
      </c>
      <c r="B45" s="14" t="inlineStr">
        <is>
          <t>Resolver una consulta sencilla con IA y otra con ejecutivo</t>
        </is>
      </c>
      <c r="C45" s="14" t="inlineStr">
        <is>
          <t>Se distingue quién responde, se entiende qué pasó y cuál es el siguiente paso</t>
        </is>
      </c>
      <c r="D45" s="8" t="inlineStr">
        <is>
          <t>Resolución sin repetición, satisfacción y abandono; medir ronda 2 y piloto</t>
        </is>
      </c>
    </row>
    <row r="46" ht="23" customHeight="1"/>
    <row r="47" ht="62" customHeight="1">
      <c r="A47" s="10" t="inlineStr">
        <is>
          <t>Fuente primaria</t>
        </is>
      </c>
      <c r="B47" s="10" t="inlineStr">
        <is>
          <t>WhatsApp Business Messaging Policy, actualizada el 23-09-2026; consultada el 15-10-2026. https://business.whatsapp.com/policy</t>
        </is>
      </c>
    </row>
    <row r="48" ht="62" customHeight="1">
      <c r="A48" s="10" t="inlineStr">
        <is>
          <t>Modalidades</t>
        </is>
      </c>
      <c r="B48" s="10" t="str">
        <v>Comodato con compra mensual de insumos. Montos de demostración académica; precio, stock, cobertura y condiciones los confirma la ejecutiva.</v>
      </c>
    </row>
  </sheetData>
  <mergeCells count="1">
    <mergeCell ref="A2:H2"/>
  </mergeCells>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5.xml><?xml version="1.0" encoding="utf-8"?>
<worksheet xmlns="http://schemas.openxmlformats.org/spreadsheetml/2006/main">
  <sheetPr>
    <tabColor rgb="003F3F40"/>
    <outlinePr summaryBelow="1" summaryRight="1"/>
    <pageSetUpPr fitToPage="1"/>
  </sheetPr>
  <dimension ref="A1:J33"/>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34" customWidth="1" min="2" max="2"/>
    <col width="16" customWidth="1" min="3" max="3"/>
    <col width="60" customWidth="1" min="4" max="4"/>
    <col width="54" customWidth="1" min="5" max="5"/>
    <col width="68" customWidth="1" min="6" max="6"/>
    <col width="60" customWidth="1" min="7" max="7"/>
    <col width="56" customWidth="1" min="8" max="8"/>
    <col width="60" customWidth="1" min="9" max="9"/>
    <col width="60" customWidth="1" min="10" max="10"/>
  </cols>
  <sheetData>
    <row r="1" ht="28" customHeight="1">
      <c r="A1" s="1" t="inlineStr">
        <is>
          <t>Viabilidad técnica: qué se puede conectar y qué falta demostrar</t>
        </is>
      </c>
      <c r="B1" s="2" t="n"/>
      <c r="C1" s="2" t="n"/>
      <c r="D1" s="2" t="n"/>
      <c r="E1" s="2" t="n"/>
      <c r="F1" s="2" t="n"/>
      <c r="G1" s="2" t="n"/>
      <c r="H1" s="2" t="n"/>
      <c r="I1" s="2" t="n"/>
      <c r="J1" s="2" t="n"/>
    </row>
    <row r="2" ht="16" customHeight="1">
      <c r="A2" s="3" t="inlineStr">
        <is>
          <t>Consulta pública 15-10-2026 y diagnóstico externo 27-08-2026. V = recurso público/lectura comprobada; H = detección histórica; P = acceso o implementación pendiente; D = demostración local. Ninguna V por sí sola prueba operación privada.</t>
        </is>
      </c>
    </row>
    <row r="3"/>
    <row r="4" ht="30" customHeight="1">
      <c r="A4" s="4" t="inlineStr">
        <is>
          <t>ID</t>
        </is>
      </c>
      <c r="B4" s="4" t="inlineStr">
        <is>
          <t>Conexión</t>
        </is>
      </c>
      <c r="C4" s="4" t="inlineStr">
        <is>
          <t>Estado</t>
        </is>
      </c>
      <c r="D4" s="4" t="inlineStr">
        <is>
          <t>Evidencia y alcance</t>
        </is>
      </c>
      <c r="E4" s="4" t="inlineStr">
        <is>
          <t>Recurso verificable</t>
        </is>
      </c>
      <c r="F4" s="4" t="inlineStr">
        <is>
          <t>Fuente primaria / referencia</t>
        </is>
      </c>
      <c r="G4" s="4" t="inlineStr">
        <is>
          <t>Qué habilita</t>
        </is>
      </c>
      <c r="H4" s="4" t="inlineStr">
        <is>
          <t>Acceso requerido</t>
        </is>
      </c>
      <c r="I4" s="4" t="inlineStr">
        <is>
          <t>Prueba de aceptación</t>
        </is>
      </c>
      <c r="J4" s="4" t="inlineStr">
        <is>
          <t>Dependencia / límite</t>
        </is>
      </c>
    </row>
    <row r="5" ht="49" customHeight="1">
      <c r="A5" s="5" t="inlineStr">
        <is>
          <t>I00</t>
        </is>
      </c>
      <c r="B5" s="10" t="inlineStr">
        <is>
          <t>Catálogo público y huellas del sitio Marley</t>
        </is>
      </c>
      <c r="C5" s="10" t="inlineStr">
        <is>
          <t>V / P</t>
        </is>
      </c>
      <c r="D5" s="10" t="inlineStr">
        <is>
          <t>Lectura pública 15-10-2026: inicio HTTP 200 con generador VTEX y recurso Connectif; catálogo HTTP 206 con un producto. Evidencia guardada por el equipo.</t>
        </is>
      </c>
      <c r="E5" s="10" t="inlineStr">
        <is>
          <t>GET público de catálogo con _from=0&amp;_to=0; una lectura no equivale a permisos de pedido o inventario privado.</t>
        </is>
      </c>
      <c r="F5" s="10" t="inlineStr">
        <is>
          <t>https://www.marleycoffee.cl/api/catalog_system/pub/products/search?_from=0&amp;_to=0</t>
        </is>
      </c>
      <c r="G5" s="10" t="inlineStr">
        <is>
          <t>Leer información pública de producto para preparar una recomendación con referencia identificable.</t>
        </is>
      </c>
      <c r="H5" s="10" t="inlineStr">
        <is>
          <t>Lectura pública de catálogo; toda escritura comercial y acceso privado requieren autorización aparte.</t>
        </is>
      </c>
      <c r="I5" s="10" t="inlineStr">
        <is>
          <t>La respuesta de lectura contiene productId y campos de producto; si falla, mostrar dato no disponible, sin inventarlo.</t>
        </is>
      </c>
      <c r="J5" s="6" t="inlineStr">
        <is>
          <t>P: permisos privados, sincronización completa, límites de uso y catálogo B2B.</t>
        </is>
      </c>
    </row>
    <row r="6" ht="49" customHeight="1">
      <c r="A6" s="5" t="inlineStr">
        <is>
          <t>I01</t>
        </is>
      </c>
      <c r="B6" s="10" t="inlineStr">
        <is>
          <t>VTEX: catálogo y operación</t>
        </is>
      </c>
      <c r="C6" s="10" t="inlineStr">
        <is>
          <t>V / P</t>
        </is>
      </c>
      <c r="D6" s="10" t="inlineStr">
        <is>
          <t>VTEX observado en auditoría externa 27-08 y lectura de inicio/catálogo 15-10-2026. Orders privado solo tiene documentación pública verificada.</t>
        </is>
      </c>
      <c r="E6" s="10" t="inlineStr">
        <is>
          <t>Orders API: GET /api/oms/pvt/orders/{orderId}; autenticación de integración documentada.</t>
        </is>
      </c>
      <c r="F6" s="10" t="inlineStr">
        <is>
          <t>https://developers.vtex.com/docs/api-reference/orders-api</t>
        </is>
      </c>
      <c r="G6" s="10" t="inlineStr">
        <is>
          <t>Consultar pedidos, estados y referencias para conservar contexto en CRM.</t>
        </is>
      </c>
      <c r="H6" s="10" t="inlineStr">
        <is>
          <t>Cuenta VTEX y credenciales con permisos mínimos; entorno de prueba autorizado.</t>
        </is>
      </c>
      <c r="I6" s="10" t="inlineStr">
        <is>
          <t>Consultar un pedido de prueba de la cuenta correcta; rechazar referencia ajena sin exponer datos.</t>
        </is>
      </c>
      <c r="J6" s="6" t="inlineStr">
        <is>
          <t>P: acceso de Marley Coffee y mapeo catálogo, SKU y sucursal.</t>
        </is>
      </c>
    </row>
    <row r="7" ht="36" customHeight="1">
      <c r="A7" s="5" t="inlineStr">
        <is>
          <t>I02</t>
        </is>
      </c>
      <c r="B7" s="10" t="inlineStr">
        <is>
          <t>VTEX: reposición confirmada</t>
        </is>
      </c>
      <c r="C7" s="10" t="inlineStr">
        <is>
          <t>V / P</t>
        </is>
      </c>
      <c r="D7" s="10" t="inlineStr">
        <is>
          <t>Fuente de MVP API_MAP contiene /v1/pedidos, que es un contrato propio propuesto, no una ruta oficial de VTEX.</t>
        </is>
      </c>
      <c r="E7" s="10" t="inlineStr">
        <is>
          <t>Checkout API: orderForm, simulación, datos del carrito y flujo autorizado de cierre.</t>
        </is>
      </c>
      <c r="F7" s="10" t="inlineStr">
        <is>
          <t>https://developers.vtex.com/docs/api-reference/checkout-api</t>
        </is>
      </c>
      <c r="G7" s="10" t="inlineStr">
        <is>
          <t>Preparar y validar la reposición; crearla solo tras la aceptación expresa y el flujo comercial habilitado.</t>
        </is>
      </c>
      <c r="H7" s="10" t="inlineStr">
        <is>
          <t>Identidad de cliente, configuración B2B y operación de checkout autorizada.</t>
        </is>
      </c>
      <c r="I7" s="10" t="inlineStr">
        <is>
          <t>Cancelar un borrador y comprobar que no hay pedido; confirmar otro y correlacionarlo con una única orden.</t>
        </is>
      </c>
      <c r="J7" s="6" t="inlineStr">
        <is>
          <t>P: condiciones B2B, stock, precios, permisos y manejo secuencial de modificaciones.</t>
        </is>
      </c>
    </row>
    <row r="8" ht="36" customHeight="1">
      <c r="A8" s="5" t="inlineStr">
        <is>
          <t>I03</t>
        </is>
      </c>
      <c r="B8" s="10" t="inlineStr">
        <is>
          <t>VTEX: cambios de pedido hacia ERP</t>
        </is>
      </c>
      <c r="C8" s="10" t="inlineStr">
        <is>
          <t>V / P</t>
        </is>
      </c>
      <c r="D8" s="10" t="inlineStr">
        <is>
          <t>Capacidad pública documentada; no se ha accedido al ERP real de Marley Coffee.</t>
        </is>
      </c>
      <c r="E8" s="10" t="inlineStr">
        <is>
          <t>Orders Feed / Hook y guía Set up order integration.</t>
        </is>
      </c>
      <c r="F8" s="10" t="inlineStr">
        <is>
          <t>https://developers.vtex.com/docs/guides/erp-integration-set-up-order-integration</t>
        </is>
      </c>
      <c r="G8" s="10" t="inlineStr">
        <is>
          <t>Recibir cambios de estado y llevar una orden autorizada al sistema operativo sin duplicarla.</t>
        </is>
      </c>
      <c r="H8" s="10" t="inlineStr">
        <is>
          <t>Credenciales VTEX; adaptador; interfaz y permisos del ERP por confirmar.</t>
        </is>
      </c>
      <c r="I8" s="10" t="inlineStr">
        <is>
          <t>Repetir un mismo evento y comprobar una sola operación y acuse; registrar caída y recuperación.</t>
        </is>
      </c>
      <c r="J8" s="6" t="inlineStr">
        <is>
          <t>P: marca/API del ERP no informadas; si no hay interfaz, revisión humana con archivo controlado.</t>
        </is>
      </c>
    </row>
    <row r="9" ht="49" customHeight="1">
      <c r="A9" s="5" t="inlineStr">
        <is>
          <t>I04</t>
        </is>
      </c>
      <c r="B9" s="10" t="inlineStr">
        <is>
          <t>Correos de pedido: VTEX Message Center</t>
        </is>
      </c>
      <c r="C9" s="10" t="inlineStr">
        <is>
          <t>V / P</t>
        </is>
      </c>
      <c r="D9" s="10" t="inlineStr">
        <is>
          <t>VTEX Message Center aparece en diagnóstico técnico del equipo; documentación pública confirma plantillas transaccionales de pedido.</t>
        </is>
      </c>
      <c r="E9" s="10" t="inlineStr">
        <is>
          <t>Plantillas de eventos de pedido y Message Center API.</t>
        </is>
      </c>
      <c r="F9" s="10" t="inlineStr">
        <is>
          <t>https://developers.vtex.com/docs/api-reference/message-center-api</t>
        </is>
      </c>
      <c r="G9" s="10" t="inlineStr">
        <is>
          <t>Avisar eventos reales de compra, pago y despacho. No demuestra por sí solo nutrición o recuperación de abandono.</t>
        </is>
      </c>
      <c r="H9" s="10" t="inlineStr">
        <is>
          <t>Acceso a plantillas y remitente; configuración y pruebas de entregabilidad.</t>
        </is>
      </c>
      <c r="I9" s="10" t="inlineStr">
        <is>
          <t>Evento de pedido de prueba genera una única notificación con referencia correcta; un fallo queda visible.</t>
        </is>
      </c>
      <c r="J9" s="6" t="inlineStr">
        <is>
          <t>P: confirmar uso actual, plantillas, identidad remitente y reglas para evitar doble correo.</t>
        </is>
      </c>
    </row>
    <row r="10" ht="49" customHeight="1">
      <c r="A10" s="5" t="inlineStr">
        <is>
          <t>I05</t>
        </is>
      </c>
      <c r="B10" s="10" t="inlineStr">
        <is>
          <t>Connectif: automatización y contenido</t>
        </is>
      </c>
      <c r="C10" s="10" t="inlineStr">
        <is>
          <t>V / P</t>
        </is>
      </c>
      <c r="D10" s="10" t="inlineStr">
        <is>
          <t>Recurso Connectif detectado en auditoría externa 27-08 y en HTML público de inicio 15-10. Su presencia no demuestra cuenta habilitada ni automatizaciones activas.</t>
        </is>
      </c>
      <c r="E10" s="10" t="inlineStr">
        <is>
          <t>POST /custom-integrations/{id}/custom-event-types/; eventos API/webhook.</t>
        </is>
      </c>
      <c r="F10" s="10" t="inlineStr">
        <is>
          <t>https://api-docs.connectif.cloud/connectif-api/reference/custom-event-types/create-custom-event-type?v=latest</t>
        </is>
      </c>
      <c r="G10" s="10" t="inlineStr">
        <is>
          <t>Configurar W1/W2, recuperación W4, nutrición W10 y supresión al tomar atención humana; alternativa: orquestador propio.</t>
        </is>
      </c>
      <c r="H10" s="10" t="inlineStr">
        <is>
          <t>Cuenta habilitada, credenciales, permisos y esquema de eventos; remitente y finalidades aprobados.</t>
        </is>
      </c>
      <c r="I10" s="10" t="inlineStr">
        <is>
          <t>Evento único activa una secuencia autorizada; atención humana o baja la detiene; reintento no duplica correo.</t>
        </is>
      </c>
      <c r="J10" s="6" t="inlineStr">
        <is>
          <t>P: plan/configuración y derechos de uso reales; no se presupone que ya existen esos flujos.</t>
        </is>
      </c>
    </row>
    <row r="11" ht="49" customHeight="1">
      <c r="A11" s="5" t="inlineStr">
        <is>
          <t>I06</t>
        </is>
      </c>
      <c r="B11" s="10" t="inlineStr">
        <is>
          <t>GA4 y Google Tag Manager</t>
        </is>
      </c>
      <c r="C11" s="10" t="inlineStr">
        <is>
          <t>V / P / D</t>
        </is>
      </c>
      <c r="D11" s="10" t="inlineStr">
        <is>
          <t>GTM y configuración sendGA4EventsValue=true observados en HTML de inicio 15-10; no demuestran recepción efectiva en GA4. Auditoría 27-08 detecta GA4/GTM.</t>
        </is>
      </c>
      <c r="E11" s="10" t="inlineStr">
        <is>
          <t>Measurement Protocol; Google tag/GTM para navegador. api_secret se conserva en servidor.</t>
        </is>
      </c>
      <c r="F11" s="10" t="inlineStr">
        <is>
          <t>https://developers.google.com/analytics/devguides/collection/protocol/ga4/sending-events</t>
        </is>
      </c>
      <c r="G11" s="10" t="inlineStr">
        <is>
          <t>Medir eventos, origen y embudo con identificadores internos minimizados, separados de los datos personales del CRM.</t>
        </is>
      </c>
      <c r="H11" s="10" t="inlineStr">
        <is>
          <t>Propiedad y flujo de datos autorizados, permisos GTM/GA4 y configuración de consentimiento.</t>
        </is>
      </c>
      <c r="I11" s="10" t="inlineStr">
        <is>
          <t>Verificar eventos de prueba y atribución; no enviar correo, teléfono ni conversación a analítica.</t>
        </is>
      </c>
      <c r="J11" s="6" t="inlineStr">
        <is>
          <t>P: propiedad, consentimiento y validación de eventos. D: la bitácora local no prueba recepción en GA4.</t>
        </is>
      </c>
    </row>
    <row r="12" ht="49" customHeight="1">
      <c r="A12" s="5" t="inlineStr">
        <is>
          <t>I07</t>
        </is>
      </c>
      <c r="B12" s="10" t="inlineStr">
        <is>
          <t>Mercado Pago</t>
        </is>
      </c>
      <c r="C12" s="10" t="inlineStr">
        <is>
          <t>V / H / P</t>
        </is>
      </c>
      <c r="D12" s="10" t="inlineStr">
        <is>
          <t>Medio de pago identificado según diagnóstico del equipo; una huella pública no da acceso a transacciones.</t>
        </is>
      </c>
      <c r="E12" s="10" t="inlineStr">
        <is>
          <t>Credenciales de prueba/producción y Access Token de servidor.</t>
        </is>
      </c>
      <c r="F12" s="10" t="inlineStr">
        <is>
          <t>https://www.mercadopago.cl/developers/es/docs/adobe-commerce/resources/credentials</t>
        </is>
      </c>
      <c r="G12" s="10" t="inlineStr">
        <is>
          <t>Reutilizar el medio de pago habilitado por la tienda, sin recoger tarjetas dentro del chat.</t>
        </is>
      </c>
      <c r="H12" s="10" t="inlineStr">
        <is>
          <t>Cuenta comercial y credenciales del producto elegido; confirmar integración existente antes de modificarla.</t>
        </is>
      </c>
      <c r="I12" s="10" t="inlineStr">
        <is>
          <t>En entorno autorizado de pruebas, correlacionar pago y pedido, incluido rechazo; nunca simular pago como aprobado.</t>
        </is>
      </c>
      <c r="J12" s="6" t="inlineStr">
        <is>
          <t>P: contratación, modalidad de checkout y permisos. La entrega académica no realiza cobros.</t>
        </is>
      </c>
    </row>
    <row r="13" ht="49" customHeight="1">
      <c r="A13" s="5" t="inlineStr">
        <is>
          <t>I08</t>
        </is>
      </c>
      <c r="B13" s="10" t="inlineStr">
        <is>
          <t>Webpay / Transbank</t>
        </is>
      </c>
      <c r="C13" s="10" t="inlineStr">
        <is>
          <t>V / H / P</t>
        </is>
      </c>
      <c r="D13" s="10" t="inlineStr">
        <is>
          <t>Medio de pago identificado en diagnóstico; el portal oficial de Transbank describe herramientas para integrar sus productos.</t>
        </is>
      </c>
      <c r="E13" s="10" t="inlineStr">
        <is>
          <t>Documentación y herramientas Webpay Plus referidas por el centro de ayuda oficial.</t>
        </is>
      </c>
      <c r="F13" s="10" t="inlineStr">
        <is>
          <t>https://publico.transbank.cl/es/web/centro-de-ayuda/que-informacion-puedo-encontrar-en-el-portal-Transbank-Developers</t>
        </is>
      </c>
      <c r="G13" s="10" t="inlineStr">
        <is>
          <t>Mantener la ruta de pago de la tienda habilitada, con respuesta transaccional verificada.</t>
        </is>
      </c>
      <c r="H13" s="10" t="inlineStr">
        <is>
          <t>Comercio, configuración y entorno de integración autorizado; credenciales por confirmar.</t>
        </is>
      </c>
      <c r="I13" s="10" t="inlineStr">
        <is>
          <t>Recorrer pago de prueba aprobado, rechazado y abandonado, sin marcar orden pagada sin confirmación válida.</t>
        </is>
      </c>
      <c r="J13" s="6" t="inlineStr">
        <is>
          <t>P: configuración real, contrato y pruebas; sin presupuesto ni tarifas supuestas.</t>
        </is>
      </c>
    </row>
    <row r="14" ht="62" customHeight="1">
      <c r="A14" s="5" t="inlineStr">
        <is>
          <t>I09</t>
        </is>
      </c>
      <c r="B14" s="10" t="inlineStr">
        <is>
          <t>Blue Express / rutas propias</t>
        </is>
      </c>
      <c r="C14" s="10" t="inlineStr">
        <is>
          <t>V / P</t>
        </is>
      </c>
      <c r="D14" s="10" t="inlineStr">
        <is>
          <t>Blue Express es una alternativa logística del diseño previo por confirmar. La auditoría externa detectó «Blue», lo que no basta para identificar Blue Express ni un contrato.</t>
        </is>
      </c>
      <c r="E14" s="10" t="inlineStr">
        <is>
          <t>Centro de ayuda de integraciones y seguimiento ecommerce.</t>
        </is>
      </c>
      <c r="F14" s="10" t="inlineStr">
        <is>
          <t>https://www.blue.cl/nosotros/centro-de-ayuda/integraciones-ecommerce</t>
        </is>
      </c>
      <c r="G14" s="10" t="inlineStr">
        <is>
          <t>Consultar y mostrar seguimiento cuando exista integración habilitada; conservar alternativa de coordinación logística.</t>
        </is>
      </c>
      <c r="H14" s="10" t="inlineStr">
        <is>
          <t>Confirmar cuenta/contrato, interfaz, cobertura y permisos; rutas propias desde la operación interna.</t>
        </is>
      </c>
      <c r="I14" s="10" t="inlineStr">
        <is>
          <t>Estado real de un envío de prueba coincide con portal/CRM; si no hay respuesta, mostrar por confirmar.</t>
        </is>
      </c>
      <c r="J14" s="6" t="inlineStr">
        <is>
          <t>P: interfaz y credenciales no verificadas. No se inventan endpoint, cobertura ni fecha de entrega.</t>
        </is>
      </c>
    </row>
    <row r="15" ht="36" customHeight="1">
      <c r="A15" s="5" t="inlineStr">
        <is>
          <t>I10</t>
        </is>
      </c>
      <c r="B15" s="10" t="inlineStr">
        <is>
          <t>WhatsApp Business Platform</t>
        </is>
      </c>
      <c r="C15" s="10" t="inlineStr">
        <is>
          <t>V / P / D</t>
        </is>
      </c>
      <c r="D15" s="10" t="inlineStr">
        <is>
          <t>Canal nuevo propuesto para el MVP; la política pública no prueba una cuenta o un número habilitados.</t>
        </is>
      </c>
      <c r="E15" s="10" t="inlineStr">
        <is>
          <t>Permiso, baja, ventana de atención, plantillas y escalamiento humano; Cloud API propuesta.</t>
        </is>
      </c>
      <c r="F15" s="10" t="inlineStr">
        <is>
          <t>https://business.whatsapp.com/policy</t>
        </is>
      </c>
      <c r="G15" s="10" t="inlineStr">
        <is>
          <t>Continuar una gestión con contexto y actualizar servicio/postventa sin abrir un caso aislado.</t>
        </is>
      </c>
      <c r="H15" s="10" t="inlineStr">
        <is>
          <t>Cuenta, número, permisos técnicos, finalidades, plantillas y adaptador a definir con Marley Coffee.</t>
        </is>
      </c>
      <c r="I15" s="10" t="inlineStr">
        <is>
          <t>Bloquear mensaje sin permiso o sin plantilla cuando corresponda; transferir a persona; conservar ticket único.</t>
        </is>
      </c>
      <c r="J15" s="6" t="inlineStr">
        <is>
          <t>P: alta y configuración; D: conversación simulada. No hay envío real ni número inventado.</t>
        </is>
      </c>
    </row>
    <row r="16" ht="36" customHeight="1">
      <c r="A16" s="5" t="inlineStr">
        <is>
          <t>I11</t>
        </is>
      </c>
      <c r="B16" s="10" t="inlineStr">
        <is>
          <t>CRM, ERP y tickets existentes</t>
        </is>
      </c>
      <c r="C16" s="10" t="inlineStr">
        <is>
          <t>P</t>
        </is>
      </c>
      <c r="D16" s="10" t="inlineStr">
        <is>
          <t>El caso describe sistemas de negocio; no identifica marca ni documentación de la interfaz.</t>
        </is>
      </c>
      <c r="E16" s="10" t="inlineStr">
        <is>
          <t>No hay recurso público verificable del sistema concreto; solicitar ficha técnica y acceso autorizado.</t>
        </is>
      </c>
      <c r="F16" s="10" t="inlineStr">
        <is>
          <t>No disponible: proveedor e interfaz no informados en el caso.</t>
        </is>
      </c>
      <c r="G16" s="10" t="inlineStr">
        <is>
          <t>Conectar maestros, pedidos, facturación y casos al contrato de integración una vez identificados.</t>
        </is>
      </c>
      <c r="H16" s="10" t="inlineStr">
        <is>
          <t>Responsable de TI, catálogo de datos, permisos y documentación privada del proveedor real.</t>
        </is>
      </c>
      <c r="I16" s="10" t="inlineStr">
        <is>
          <t>Conciliar cuenta, sucursal, pedido y ticket; rechazar acceso ajeno; registrar una sola operación por referencia.</t>
        </is>
      </c>
      <c r="J16" s="6" t="inlineStr">
        <is>
          <t>P: proveedor y API; alternativa manual o archivo controlado, sin fingir sincronización en tiempo real.</t>
        </is>
      </c>
    </row>
    <row r="17" ht="49" customHeight="1">
      <c r="A17" s="5" t="inlineStr">
        <is>
          <t>I12</t>
        </is>
      </c>
      <c r="B17" s="10" t="inlineStr">
        <is>
          <t>CRM propio, agentes y vista omnicanal</t>
        </is>
      </c>
      <c r="C17" s="10" t="inlineStr">
        <is>
          <t>D / P</t>
        </is>
      </c>
      <c r="D17" s="10" t="inlineStr">
        <is>
          <t>Código del MVP y contratos /v1 propuestos: demostración local de eventos, puntaje, correos, chat y responsable.</t>
        </is>
      </c>
      <c r="E17" s="10" t="inlineStr">
        <is>
          <t>R16: recorrido y estados locales; R02 conversación; /v1/contactos/{id}/eventos como contrato propio.</t>
        </is>
      </c>
      <c r="F17" s="10" t="inlineStr">
        <is>
          <t>Fuente del MVP: src/v4/00-data.js (API_MAP), estado local y módulos de CRM; no es una API pública desplegada.</t>
        </is>
      </c>
      <c r="G17" s="10" t="inlineStr">
        <is>
          <t>Hacer visible la relación evento → puntaje → asignación → comunicación → confirmación → resultado.</t>
        </is>
      </c>
      <c r="H17" s="10" t="inlineStr">
        <is>
          <t>P: servidor, base de datos, identidad, auditoría, controles de operación y adaptadores reales.</t>
        </is>
      </c>
      <c r="I17" s="10" t="inlineStr">
        <is>
          <t>Evento se cuenta una vez; cambia score y asignación; correos/traspaso conservan contexto; registrar falla y reintento.</t>
        </is>
      </c>
      <c r="J17" s="6" t="inlineStr">
        <is>
          <t>D: coherencia local comprobable; P: persistencia y conexiones reales. No se declara operativo en producción.</t>
        </is>
      </c>
    </row>
    <row r="18" ht="49" customHeight="1">
      <c r="A18" s="5" t="inlineStr">
        <is>
          <t>I13</t>
        </is>
      </c>
      <c r="B18" s="10" t="inlineStr">
        <is>
          <t>Zendesk: soporte, si se confirma uso</t>
        </is>
      </c>
      <c r="C18" s="10" t="inlineStr">
        <is>
          <t>V / H / P</t>
        </is>
      </c>
      <c r="D18" s="10" t="inlineStr">
        <is>
          <t>Detectado por auditoría externa 27-08; una lectura HTML sin ejecución de etiquetas no confirma ni descarta operación actual.</t>
        </is>
      </c>
      <c r="E18" s="10" t="inlineStr">
        <is>
          <t>Webhooks de actividad en Support/Messaging y guía de autenticidad de notificaciones.</t>
        </is>
      </c>
      <c r="F18" s="10" t="inlineStr">
        <is>
          <t>https://developer.zendesk.com/documentation/webhooks/</t>
        </is>
      </c>
      <c r="G18" s="10" t="inlineStr">
        <is>
          <t>Si es el sistema real de atención, vincular cambios de ticket al CRM y pausar campañas ante una incidencia crítica.</t>
        </is>
      </c>
      <c r="H18" s="10" t="inlineStr">
        <is>
          <t>Confirmar cuenta, producto, permisos de administrador y configuración de eventos firmados.</t>
        </is>
      </c>
      <c r="I18" s="10" t="inlineStr">
        <is>
          <t>Ticket de prueba cambia estado una vez; notificación inválida se rechaza; el CRM conserva referencia y responsable.</t>
        </is>
      </c>
      <c r="J18" s="6" t="inlineStr">
        <is>
          <t>P: no se afirma que sea el ticketing interno definitivo; usar adaptador del sistema que TI confirme.</t>
        </is>
      </c>
    </row>
    <row r="19" ht="49" customHeight="1">
      <c r="A19" s="5" t="inlineStr">
        <is>
          <t>I14</t>
        </is>
      </c>
      <c r="B19" s="10" t="inlineStr">
        <is>
          <t>VTEX Logistics: stock y cobertura</t>
        </is>
      </c>
      <c r="C19" s="10" t="inlineStr">
        <is>
          <t>V / P</t>
        </is>
      </c>
      <c r="D19" s="10" t="inlineStr">
        <is>
          <t>Propuesto en Informe 01, tabla 9; documentación pública de Logistics verificada. No se consultó stock privado de Marley.</t>
        </is>
      </c>
      <c r="E19" s="10" t="inlineStr">
        <is>
          <t>Logistics API: inventario, almacenes y configuración logística.</t>
        </is>
      </c>
      <c r="F19" s="10" t="inlineStr">
        <is>
          <t>https://developers.vtex.com/docs/api-reference/logistics-api</t>
        </is>
      </c>
      <c r="G19" s="10" t="inlineStr">
        <is>
          <t>Contrastar disponibilidad por SKU y datos de logística al preparar una propuesta.</t>
        </is>
      </c>
      <c r="H19" s="10" t="inlineStr">
        <is>
          <t>Cuenta y permisos por operación, mapeo SKU/almacén y reglas comerciales vigentes.</t>
        </is>
      </c>
      <c r="I19" s="10" t="inlineStr">
        <is>
          <t>Consultar SKU de prueba y tratar falta de stock o API caída sin inventar disponibilidad ni fecha.</t>
        </is>
      </c>
      <c r="J19" s="6" t="inlineStr">
        <is>
          <t>P: inventario real, cobertura, permisos y condiciones; ninguna reserva se deduce de una lectura pública.</t>
        </is>
      </c>
    </row>
    <row r="20" ht="49" customHeight="1">
      <c r="A20" s="5" t="inlineStr">
        <is>
          <t>I15</t>
        </is>
      </c>
      <c r="B20" s="10" t="inlineStr">
        <is>
          <t>Google Ads / Data Manager</t>
        </is>
      </c>
      <c r="C20" s="10" t="inlineStr">
        <is>
          <t>V / H / P</t>
        </is>
      </c>
      <c r="D20" s="10" t="inlineStr">
        <is>
          <t>Informe 01, tabla 9, propone conversiones posteriores con consentimiento. Auditoría 27-08 observó señales de atribución Google, sin acceso a la cuenta.</t>
        </is>
      </c>
      <c r="E20" s="10" t="inlineStr">
        <is>
          <t>Data Manager API: eventos de conversiones posteriores y conversiones mejoradas de clientes potenciales.</t>
        </is>
      </c>
      <c r="F20" s="10" t="inlineStr">
        <is>
          <t>https://developers.google.com/data-manager/api/devguides/events</t>
        </is>
      </c>
      <c r="G20" s="10" t="inlineStr">
        <is>
          <t>Relacionar adquisición con lead calificado y venta confirmada cuando la cuenta y el consentimiento lo permitan.</t>
        </is>
      </c>
      <c r="H20" s="10" t="inlineStr">
        <is>
          <t>Cuenta, acción de conversión, acceso API y condiciones de datos habilitadas; revisar método vigente antes del piloto.</t>
        </is>
      </c>
      <c r="I20" s="10" t="inlineStr">
        <is>
          <t>Una conversión de prueba se valida, se atribuye sin duplicarse y solo contiene datos autorizados; conciliar con venta del CRM.</t>
        </is>
      </c>
      <c r="J20" s="6" t="inlineStr">
        <is>
          <t>P: configuración real; preferir Data Manager para nuevas integraciones y revisar restricciones vigentes de métodos anteriores.</t>
        </is>
      </c>
    </row>
    <row r="21" ht="49" customHeight="1">
      <c r="A21" s="7" t="inlineStr">
        <is>
          <t>I16</t>
        </is>
      </c>
      <c r="B21" s="14" t="inlineStr">
        <is>
          <t>Clarity y gobierno de etiquetas</t>
        </is>
      </c>
      <c r="C21" s="14" t="inlineStr">
        <is>
          <t>V / H / P</t>
        </is>
      </c>
      <c r="D21" s="14" t="inlineStr">
        <is>
          <t>Clarity detectado en auditoría externa 27-08 con advertencia de múltiples etiquetas. No se prueba el estado actual ni se deduce ausencia de una lectura estática.</t>
        </is>
      </c>
      <c r="E21" s="14" t="inlineStr">
        <is>
          <t>Guía oficial de instalación del seguimiento Clarity; revisión de etiquetas por propietario/finalidad.</t>
        </is>
      </c>
      <c r="F21" s="14" t="inlineStr">
        <is>
          <t>https://learn.microsoft.com/en-us/clarity/setup-and-installation/clarity-setup</t>
        </is>
      </c>
      <c r="G21" s="14" t="inlineStr">
        <is>
          <t>Revisar fricción de navegación y duplicidades una vez configurada privacidad y acceso. No usar grabaciones como dato transaccional.</t>
        </is>
      </c>
      <c r="H21" s="14" t="inlineStr">
        <is>
          <t>Acceso al proyecto y gestor de etiquetas; controles de consentimiento, exclusiones y retención definidos.</t>
        </is>
      </c>
      <c r="I21" s="14" t="inlineStr">
        <is>
          <t>Un recorrido autorizado produce la evidencia prevista sin duplicar etiquetas ni capturar datos sensibles; revisar con responsable de privacidad.</t>
        </is>
      </c>
      <c r="J21" s="8" t="inlineStr">
        <is>
          <t>P: proyecto y configuración; no se presupone una API de escritura ni acceso a grabaciones de clientes.</t>
        </is>
      </c>
    </row>
    <row r="22" ht="23" customHeight="1"/>
    <row r="23" ht="49" customHeight="1">
      <c r="A23" s="4" t="inlineStr">
        <is>
          <t>Nivel de evidencia</t>
        </is>
      </c>
      <c r="B23" s="4" t="inlineStr">
        <is>
          <t>Qué demuestra</t>
        </is>
      </c>
      <c r="C23" s="4" t="inlineStr">
        <is>
          <t>Qué no demuestra</t>
        </is>
      </c>
    </row>
    <row r="24" ht="101" customHeight="1">
      <c r="A24" s="5" t="inlineStr">
        <is>
          <t>Técnica pública</t>
        </is>
      </c>
      <c r="B24" s="10" t="inlineStr">
        <is>
          <t>La documentación describe una capacidad disponible del proveedor.</t>
        </is>
      </c>
      <c r="C24" s="6" t="inlineStr">
        <is>
          <t>No demuestra contrato, credenciales, configuración ni acceso a datos de Marley Coffee.</t>
        </is>
      </c>
    </row>
    <row r="25" ht="88" customHeight="1">
      <c r="A25" s="5" t="inlineStr">
        <is>
          <t>Demostración local</t>
        </is>
      </c>
      <c r="B25" s="10" t="inlineStr">
        <is>
          <t>Puntaje, asignación, secuencias y estados se muestran con los datos del MVP.</t>
        </is>
      </c>
      <c r="C25" s="6" t="inlineStr">
        <is>
          <t>No equivale a envío real de correo o WhatsApp ni a escritura en ERP.</t>
        </is>
      </c>
    </row>
    <row r="26" ht="88" customHeight="1">
      <c r="A26" s="7" t="inlineStr">
        <is>
          <t>Piloto conectado</t>
        </is>
      </c>
      <c r="B26" s="14" t="inlineStr">
        <is>
          <t>Cada adaptador requiere acceso autorizado, prueba de ida/vuelta y conciliación de referencias.</t>
        </is>
      </c>
      <c r="C26" s="8" t="inlineStr">
        <is>
          <t>Solo después se puede declarar conectado ese sistema y ese caso de uso.</t>
        </is>
      </c>
    </row>
    <row r="27" ht="23" customHeight="1"/>
    <row r="28" ht="36" customHeight="1">
      <c r="A28" s="4" t="inlineStr">
        <is>
          <t>Capa</t>
        </is>
      </c>
      <c r="B28" s="4" t="inlineStr">
        <is>
          <t>Estado</t>
        </is>
      </c>
      <c r="C28" s="4" t="inlineStr">
        <is>
          <t>Función y conexión</t>
        </is>
      </c>
    </row>
    <row r="29" ht="140" customHeight="1">
      <c r="A29" s="5" t="inlineStr">
        <is>
          <t>1. Ecosistema existente</t>
        </is>
      </c>
      <c r="B29" s="10" t="inlineStr">
        <is>
          <t>V / P</t>
        </is>
      </c>
      <c r="C29" s="6" t="inlineStr">
        <is>
          <t>VTEX: catálogo y pedidos; pagos según diagnóstico; ERP, tickets y logística por confirmar. Reutilizar interfaces habilitadas.</t>
        </is>
      </c>
    </row>
    <row r="30" ht="153" customHeight="1">
      <c r="A30" s="5" t="inlineStr">
        <is>
          <t>2. Capa de integración</t>
        </is>
      </c>
      <c r="B30" s="10" t="inlineStr">
        <is>
          <t>P</t>
        </is>
      </c>
      <c r="C30" s="6" t="inlineStr">
        <is>
          <t>Adaptadores por sistema, eventos normalizados, identidad y permisos, cola persistente, deduplicación y recuperación. Contratos /v1 propuestos.</t>
        </is>
      </c>
    </row>
    <row r="31" ht="140" customHeight="1">
      <c r="A31" s="5" t="inlineStr">
        <is>
          <t>3. CRM y agentes</t>
        </is>
      </c>
      <c r="B31" s="10" t="inlineStr">
        <is>
          <t>D / P</t>
        </is>
      </c>
      <c r="C31" s="6" t="inlineStr">
        <is>
          <t>Una cuenta y una conversación con responsable. Puntaje trazable, propuesta sugerida, tareas y traspaso humano con contexto.</t>
        </is>
      </c>
    </row>
    <row r="32" ht="140" customHeight="1">
      <c r="A32" s="5" t="inlineStr">
        <is>
          <t>4. Canales coordinados</t>
        </is>
      </c>
      <c r="B32" s="10" t="inlineStr">
        <is>
          <t>V / P / D</t>
        </is>
      </c>
      <c r="C32" s="6" t="inlineStr">
        <is>
          <t>Chat web consultivo y correo comercial. WhatsApp: postventa iniciada por cliente. Pedido: Message Center. Nutrición por correo autorizado.</t>
        </is>
      </c>
    </row>
    <row r="33" ht="140" customHeight="1">
      <c r="A33" s="7" t="inlineStr">
        <is>
          <t>5. Medición y mejora</t>
        </is>
      </c>
      <c r="B33" s="14" t="inlineStr">
        <is>
          <t>V / P / D</t>
        </is>
      </c>
      <c r="C33" s="8" t="inlineStr">
        <is>
          <t>Bitácora técnica y comercial; eventos mínimos a GA4 autorizado. Resultado de pedido/ticket vuelve al CRM; ajustar por evidencia.</t>
        </is>
      </c>
    </row>
  </sheetData>
  <mergeCells count="1">
    <mergeCell ref="A2:J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2026-10-16T02:56:41Z</dcterms:created>
  <dcterms:modified xmlns:dcterms="http://purl.org/dc/terms/" xmlns:xsi="http://www.w3.org/2001/XMLSchema-instance" xsi:type="dcterms:W3CDTF">2026-10-16T02:56:42Z</dcterms:modified>
</cp:coreProperties>
</file>