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1.xml" ContentType="application/vnd.openxmlformats-officedocument.spreadsheetml.worksheet+xml"/>
  <Override PartName="/xl/tables/table17.xml" ContentType="application/vnd.openxmlformats-officedocument.spreadsheetml.table+xml"/>
  <Override PartName="/xl/worksheets/sheet12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tables/table22.xml" ContentType="application/vnd.openxmlformats-officedocument.spreadsheetml.table+xml"/>
  <Override PartName="/xl/worksheets/sheet15.xml" ContentType="application/vnd.openxmlformats-officedocument.spreadsheetml.worksheet+xml"/>
  <Override PartName="/xl/tables/table23.xml" ContentType="application/vnd.openxmlformats-officedocument.spreadsheetml.table+xml"/>
  <Override PartName="/xl/worksheets/sheet16.xml" ContentType="application/vnd.openxmlformats-officedocument.spreadsheetml.worksheet+xml"/>
  <Override PartName="/xl/tables/table24.xml" ContentType="application/vnd.openxmlformats-officedocument.spreadsheetml.table+xml"/>
  <Override PartName="/xl/worksheets/sheet17.xml" ContentType="application/vnd.openxmlformats-officedocument.spreadsheetml.worksheet+xml"/>
  <Override PartName="/xl/tables/table25.xml" ContentType="application/vnd.openxmlformats-officedocument.spreadsheetml.table+xml"/>
  <Override PartName="/xl/worksheets/sheet18.xml" ContentType="application/vnd.openxmlformats-officedocument.spreadsheetml.worksheet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worksheets/sheet19.xml" ContentType="application/vnd.openxmlformats-officedocument.spreadsheetml.worksheet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sheets/sheet20.xml" ContentType="application/vnd.openxmlformats-officedocument.spreadsheetml.worksheet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worksheets/sheet21.xml" ContentType="application/vnd.openxmlformats-officedocument.spreadsheetml.worksheet+xml"/>
  <Override PartName="/xl/tables/table37.xml" ContentType="application/vnd.openxmlformats-officedocument.spreadsheetml.table+xml"/>
  <Override PartName="/xl/worksheets/sheet22.xml" ContentType="application/vnd.openxmlformats-officedocument.spreadsheetml.worksheet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worksheets/sheet23.xml" ContentType="application/vnd.openxmlformats-officedocument.spreadsheetml.worksheet+xml"/>
  <Override PartName="/xl/tables/table41.xml" ContentType="application/vnd.openxmlformats-officedocument.spreadsheetml.table+xml"/>
  <Override PartName="/xl/worksheets/sheet24.xml" ContentType="application/vnd.openxmlformats-officedocument.spreadsheetml.worksheet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worksheets/sheet25.xml" ContentType="application/vnd.openxmlformats-officedocument.spreadsheetml.worksheet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LEEME" sheetId="1" state="visible" r:id="rId1"/>
    <sheet xmlns:r="http://schemas.openxmlformats.org/officeDocument/2006/relationships" name="01_ENGAGEMENT" sheetId="2" state="visible" r:id="rId2"/>
    <sheet xmlns:r="http://schemas.openxmlformats.org/officeDocument/2006/relationships" name="02_ZONAS" sheetId="3" state="visible" r:id="rId3"/>
    <sheet xmlns:r="http://schemas.openxmlformats.org/officeDocument/2006/relationships" name="03_FINANCIAL" sheetId="4" state="visible" r:id="rId4"/>
    <sheet xmlns:r="http://schemas.openxmlformats.org/officeDocument/2006/relationships" name="04_KPIS" sheetId="5" state="visible" r:id="rId5"/>
    <sheet xmlns:r="http://schemas.openxmlformats.org/officeDocument/2006/relationships" name="05_WORKFLOWS" sheetId="6" state="visible" r:id="rId6"/>
    <sheet xmlns:r="http://schemas.openxmlformats.org/officeDocument/2006/relationships" name="06_CONTENIDOS" sheetId="7" state="visible" r:id="rId7"/>
    <sheet xmlns:r="http://schemas.openxmlformats.org/officeDocument/2006/relationships" name="07_TEST_PLAN" sheetId="8" state="visible" r:id="rId8"/>
    <sheet xmlns:r="http://schemas.openxmlformats.org/officeDocument/2006/relationships" name="08_TEST_REGISTRO" sheetId="9" state="visible" r:id="rId9"/>
    <sheet xmlns:r="http://schemas.openxmlformats.org/officeDocument/2006/relationships" name="09_SUS" sheetId="10" state="visible" r:id="rId10"/>
    <sheet xmlns:r="http://schemas.openxmlformats.org/officeDocument/2006/relationships" name="10_HALLAZGOS" sheetId="11" state="visible" r:id="rId11"/>
    <sheet xmlns:r="http://schemas.openxmlformats.org/officeDocument/2006/relationships" name="11_COMPARACION" sheetId="12" state="visible" r:id="rId12"/>
    <sheet xmlns:r="http://schemas.openxmlformats.org/officeDocument/2006/relationships" name="12_SUPUESTOS" sheetId="13" state="visible" r:id="rId13"/>
    <sheet xmlns:r="http://schemas.openxmlformats.org/officeDocument/2006/relationships" name="13_GLOSARIO" sheetId="14" state="visible" r:id="rId14"/>
    <sheet xmlns:r="http://schemas.openxmlformats.org/officeDocument/2006/relationships" name="14_VERSIONES" sheetId="15" state="visible" r:id="rId15"/>
    <sheet xmlns:r="http://schemas.openxmlformats.org/officeDocument/2006/relationships" name="15_LEAD_MAGNETS" sheetId="16" state="visible" r:id="rId16"/>
    <sheet xmlns:r="http://schemas.openxmlformats.org/officeDocument/2006/relationships" name="16_ECONOMIA_UNITARIA" sheetId="17" state="visible" r:id="rId17"/>
    <sheet xmlns:r="http://schemas.openxmlformats.org/officeDocument/2006/relationships" name="17_INTEGRACION" sheetId="18" state="visible" r:id="rId18"/>
    <sheet xmlns:r="http://schemas.openxmlformats.org/officeDocument/2006/relationships" name="18_BLUEPRINT_INBOUND" sheetId="19" state="visible" r:id="rId19"/>
    <sheet xmlns:r="http://schemas.openxmlformats.org/officeDocument/2006/relationships" name="19_PRECIOS_SUPUESTOS" sheetId="20" state="visible" r:id="rId20"/>
    <sheet xmlns:r="http://schemas.openxmlformats.org/officeDocument/2006/relationships" name="20_CRM_ROLES" sheetId="21" state="visible" r:id="rId21"/>
    <sheet xmlns:r="http://schemas.openxmlformats.org/officeDocument/2006/relationships" name="21_SEO_AEO" sheetId="22" state="visible" r:id="rId22"/>
    <sheet xmlns:r="http://schemas.openxmlformats.org/officeDocument/2006/relationships" name="22_CAMBIOS_TEST" sheetId="23" state="visible" r:id="rId23"/>
    <sheet xmlns:r="http://schemas.openxmlformats.org/officeDocument/2006/relationships" name="23_CONVERSACION_POSTVENTA" sheetId="24" state="visible" r:id="rId24"/>
    <sheet xmlns:r="http://schemas.openxmlformats.org/officeDocument/2006/relationships" name="24_CONEXIONES" sheetId="25" state="visible" r:id="rId25"/>
  </sheets>
  <definedNames>
    <definedName name="_xlnm.Print_Titles" localSheetId="0">'00_LEEME'!$4:$4</definedName>
    <definedName name="_xlnm.Print_Titles" localSheetId="1">'01_ENGAGEMENT'!$4:$4</definedName>
    <definedName name="_xlnm.Print_Titles" localSheetId="2">'02_ZONAS'!$4:$4</definedName>
    <definedName name="_xlnm.Print_Titles" localSheetId="3">'03_FINANCIAL'!$4:$4</definedName>
    <definedName name="_xlnm.Print_Titles" localSheetId="4">'04_KPIS'!$4:$4</definedName>
    <definedName name="_xlnm.Print_Titles" localSheetId="5">'05_WORKFLOWS'!$4:$4</definedName>
    <definedName name="_xlnm.Print_Titles" localSheetId="6">'06_CONTENIDOS'!$4:$4</definedName>
    <definedName name="_xlnm.Print_Titles" localSheetId="7">'07_TEST_PLAN'!$4:$4</definedName>
    <definedName name="_xlnm.Print_Titles" localSheetId="8">'08_TEST_REGISTRO'!$4:$4</definedName>
    <definedName name="_xlnm.Print_Titles" localSheetId="9">'09_SUS'!$4:$4</definedName>
    <definedName name="_xlnm.Print_Titles" localSheetId="10">'10_HALLAZGOS'!$4:$4</definedName>
    <definedName name="_xlnm.Print_Titles" localSheetId="11">'11_COMPARACION'!$4:$4</definedName>
    <definedName name="_xlnm.Print_Titles" localSheetId="12">'12_SUPUESTOS'!$4:$4</definedName>
    <definedName name="_xlnm.Print_Titles" localSheetId="13">'13_GLOSARIO'!$4:$4</definedName>
    <definedName name="_xlnm.Print_Titles" localSheetId="14">'14_VERSIONES'!$4:$4</definedName>
    <definedName name="_xlnm.Print_Titles" localSheetId="15">'15_LEAD_MAGNETS'!$4:$4</definedName>
    <definedName name="_xlnm.Print_Titles" localSheetId="16">'16_ECONOMIA_UNITARIA'!$4:$4</definedName>
    <definedName name="_xlnm.Print_Titles" localSheetId="17">'17_INTEGRACION'!$4:$4</definedName>
    <definedName name="_xlnm.Print_Titles" localSheetId="18">'18_BLUEPRINT_INBOUND'!$4:$4</definedName>
    <definedName name="_xlnm.Print_Titles" localSheetId="19">'19_PRECIOS_SUPUESTOS'!$4:$4</definedName>
    <definedName name="_xlnm.Print_Titles" localSheetId="20">'20_CRM_ROLES'!$4:$4</definedName>
    <definedName name="_xlnm.Print_Titles" localSheetId="21">'21_SEO_AEO'!$4:$4</definedName>
    <definedName name="_xlnm.Print_Titles" localSheetId="22">'22_CAMBIOS_TEST'!$4:$4</definedName>
    <definedName name="_xlnm.Print_Titles" localSheetId="23">'23_CONVERSACION_POSTVENTA'!$4:$4</definedName>
    <definedName name="_xlnm.Print_Titles" localSheetId="24">'24_CONEXIONES'!$4:$4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 #,##0"/>
    <numFmt numFmtId="165" formatCode="0.0"/>
    <numFmt numFmtId="166" formatCode="0.0%"/>
    <numFmt numFmtId="167" formatCode="&quot;$&quot;#,##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D0D0D"/>
      <sz val="16"/>
    </font>
  </fonts>
  <fills count="6">
    <fill>
      <patternFill/>
    </fill>
    <fill>
      <patternFill patternType="gray125"/>
    </fill>
    <fill>
      <patternFill patternType="solid">
        <fgColor rgb="00171717"/>
      </patternFill>
    </fill>
    <fill>
      <patternFill patternType="solid">
        <fgColor rgb="00FFF6CC"/>
      </patternFill>
    </fill>
    <fill>
      <patternFill patternType="solid">
        <fgColor rgb="00EFEFEF"/>
      </patternFill>
    </fill>
    <fill>
      <patternFill patternType="solid">
        <fgColor rgb="00F4F4F4"/>
      </patternFill>
    </fill>
  </fills>
  <borders count="13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thick">
        <color rgb="00F7BE00"/>
      </bottom>
    </border>
    <border>
      <left style="thin">
        <color rgb="00BBBBBB"/>
      </left>
      <right style="thin">
        <color rgb="00BBBBBB"/>
      </right>
      <top style="medium">
        <color rgb="00171717"/>
      </top>
      <bottom style="medium">
        <color rgb="00F7BE00"/>
      </bottom>
    </border>
    <border>
      <left style="medium">
        <color rgb="00171717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 style="medium">
        <color rgb="00171717"/>
      </right>
      <top style="thin">
        <color rgb="00BBBBBB"/>
      </top>
      <bottom style="thin">
        <color rgb="00BBBBBB"/>
      </bottom>
    </border>
    <border>
      <left style="medium">
        <color rgb="00171717"/>
      </left>
      <right style="thin">
        <color rgb="00BBBBBB"/>
      </right>
      <top style="thin">
        <color rgb="00BBBBBB"/>
      </top>
      <bottom style="medium">
        <color rgb="00171717"/>
      </bottom>
    </border>
    <border>
      <left style="thin">
        <color rgb="00BBBBBB"/>
      </left>
      <right style="medium">
        <color rgb="00171717"/>
      </right>
      <top style="thin">
        <color rgb="00BBBBBB"/>
      </top>
      <bottom style="medium">
        <color rgb="00171717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medium">
        <color rgb="00171717"/>
      </bottom>
    </border>
    <border>
      <left style="medium">
        <color rgb="00171717"/>
      </left>
      <right/>
      <top/>
      <bottom style="medium">
        <color rgb="00171717"/>
      </bottom>
    </border>
    <border>
      <left/>
      <right style="medium">
        <color rgb="00171717"/>
      </right>
      <top/>
      <bottom style="medium">
        <color rgb="00171717"/>
      </bottom>
    </border>
    <border>
      <left/>
      <right/>
      <top/>
      <bottom style="medium">
        <color rgb="00171717"/>
      </bottom>
    </border>
    <border>
      <left style="thin">
        <color rgb="00BBBBBB"/>
      </left>
      <right style="thin">
        <color rgb="00BBBBBB"/>
      </right>
      <top style="medium">
        <color rgb="00171717"/>
      </top>
      <bottom style="medium">
        <color rgb="00171717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3" applyAlignment="1" pivotButton="0" quotePrefix="0" xfId="0">
      <alignment vertical="center" wrapText="1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0" borderId="1" pivotButton="0" quotePrefix="0" xfId="0"/>
    <xf numFmtId="0" fontId="4" fillId="0" borderId="8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4" fillId="3" borderId="7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0" pivotButton="0" quotePrefix="0" xfId="0"/>
    <xf numFmtId="0" fontId="4" fillId="4" borderId="1" applyAlignment="1" pivotButton="0" quotePrefix="0" xfId="0">
      <alignment vertical="top" wrapText="1"/>
    </xf>
    <xf numFmtId="0" fontId="4" fillId="4" borderId="8" applyAlignment="1" pivotButton="0" quotePrefix="0" xfId="0">
      <alignment vertical="top" wrapText="1"/>
    </xf>
    <xf numFmtId="0" fontId="4" fillId="0" borderId="4" pivotButton="0" quotePrefix="0" xfId="0"/>
    <xf numFmtId="9" fontId="4" fillId="3" borderId="1" pivotButton="0" quotePrefix="0" xfId="0"/>
    <xf numFmtId="0" fontId="4" fillId="0" borderId="5" pivotButton="0" quotePrefix="0" xfId="0"/>
    <xf numFmtId="0" fontId="5" fillId="0" borderId="9" pivotButton="0" quotePrefix="0" xfId="0"/>
    <xf numFmtId="9" fontId="0" fillId="4" borderId="11" pivotButton="0" quotePrefix="0" xfId="0"/>
    <xf numFmtId="0" fontId="0" fillId="0" borderId="10" pivotButton="0" quotePrefix="0" xfId="0"/>
    <xf numFmtId="164" fontId="4" fillId="3" borderId="1" applyAlignment="1" pivotButton="0" quotePrefix="0" xfId="0">
      <alignment vertical="top" wrapText="1"/>
    </xf>
    <xf numFmtId="1" fontId="4" fillId="4" borderId="1" applyAlignment="1" pivotButton="0" quotePrefix="0" xfId="0">
      <alignment vertical="top" wrapText="1"/>
    </xf>
    <xf numFmtId="164" fontId="4" fillId="3" borderId="8" applyAlignment="1" pivotButton="0" quotePrefix="0" xfId="0">
      <alignment vertical="top" wrapText="1"/>
    </xf>
    <xf numFmtId="1" fontId="4" fillId="4" borderId="8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9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4" borderId="5" applyAlignment="1" pivotButton="0" quotePrefix="0" xfId="0">
      <alignment vertical="top" wrapText="1"/>
    </xf>
    <xf numFmtId="9" fontId="4" fillId="4" borderId="8" applyAlignment="1" pivotButton="0" quotePrefix="0" xfId="0">
      <alignment vertical="top" wrapText="1"/>
    </xf>
    <xf numFmtId="165" fontId="4" fillId="4" borderId="8" applyAlignment="1" pivotButton="0" quotePrefix="0" xfId="0">
      <alignment vertical="top" wrapText="1"/>
    </xf>
    <xf numFmtId="9" fontId="4" fillId="0" borderId="8" applyAlignment="1" pivotButton="0" quotePrefix="0" xfId="0">
      <alignment vertical="top" wrapText="1"/>
    </xf>
    <xf numFmtId="0" fontId="4" fillId="4" borderId="7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5" applyAlignment="1" pivotButton="0" quotePrefix="0" xfId="0">
      <alignment vertical="top" wrapText="1"/>
    </xf>
    <xf numFmtId="0" fontId="5" fillId="0" borderId="6" applyAlignment="1" pivotButton="0" quotePrefix="0" xfId="0">
      <alignment vertical="top" wrapText="1"/>
    </xf>
    <xf numFmtId="0" fontId="5" fillId="0" borderId="8" applyAlignment="1" pivotButton="0" quotePrefix="0" xfId="0">
      <alignment vertical="top" wrapText="1"/>
    </xf>
    <xf numFmtId="165" fontId="5" fillId="4" borderId="8" applyAlignment="1" pivotButton="0" quotePrefix="0" xfId="0">
      <alignment vertical="top" wrapText="1"/>
    </xf>
    <xf numFmtId="0" fontId="5" fillId="4" borderId="7" applyAlignment="1" pivotButton="0" quotePrefix="0" xfId="0">
      <alignment vertical="top" wrapText="1"/>
    </xf>
    <xf numFmtId="0" fontId="5" fillId="0" borderId="0" pivotButton="0" quotePrefix="0" xfId="0"/>
    <xf numFmtId="0" fontId="3" fillId="2" borderId="12" applyAlignment="1" pivotButton="0" quotePrefix="0" xfId="0">
      <alignment vertical="center" wrapText="1"/>
    </xf>
    <xf numFmtId="0" fontId="4" fillId="5" borderId="4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5" borderId="5" applyAlignment="1" pivotButton="0" quotePrefix="0" xfId="0">
      <alignment vertical="top" wrapText="1"/>
    </xf>
    <xf numFmtId="0" fontId="4" fillId="5" borderId="6" applyAlignment="1" pivotButton="0" quotePrefix="0" xfId="0">
      <alignment vertical="top" wrapText="1"/>
    </xf>
    <xf numFmtId="0" fontId="4" fillId="5" borderId="8" applyAlignment="1" pivotButton="0" quotePrefix="0" xfId="0">
      <alignment vertical="top" wrapText="1"/>
    </xf>
    <xf numFmtId="0" fontId="4" fillId="5" borderId="7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5" applyAlignment="1" pivotButton="0" quotePrefix="0" xfId="0">
      <alignment vertical="top" wrapText="1"/>
    </xf>
    <xf numFmtId="167" fontId="4" fillId="3" borderId="8" applyAlignment="1" pivotButton="0" quotePrefix="0" xfId="0">
      <alignment vertical="top" wrapText="1"/>
    </xf>
    <xf numFmtId="167" fontId="4" fillId="3" borderId="7" applyAlignment="1" pivotButton="0" quotePrefix="0" xfId="0">
      <alignment vertical="top" wrapText="1"/>
    </xf>
    <xf numFmtId="167" fontId="4" fillId="4" borderId="8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0" borderId="8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ables/table1.xml><?xml version="1.0" encoding="utf-8"?>
<table xmlns="http://schemas.openxmlformats.org/spreadsheetml/2006/main" id="1" name="T00_1" displayName="T00_1" ref="A4:B29" headerRowCount="1">
  <autoFilter ref="A4:B29"/>
  <tableColumns count="2">
    <tableColumn id="1" name="Hoja"/>
    <tableColumn id="2" name="Contenido"/>
  </tableColumns>
  <tableStyleInfo name="TableStyleLight15" showRowStripes="1" showColumnStripes="0"/>
</table>
</file>

<file path=xl/tables/table2.xml><?xml version="1.0" encoding="utf-8"?>
<table xmlns="http://schemas.openxmlformats.org/spreadsheetml/2006/main" id="2" name="T01_1" displayName="T01_1" ref="A4:H18" headerRowCount="1">
  <autoFilter ref="A4:H18"/>
  <tableColumns count="8">
    <tableColumn id="1" name="N°"/>
    <tableColumn id="2" name="Clave"/>
    <tableColumn id="3" name="Evento"/>
    <tableColumn id="4" name="Puntos"/>
    <tableColumn id="5" name="Regla / control"/>
    <tableColumn id="6" name="Caso A (1 = ocurrió)"/>
    <tableColumn id="7" name="Caso B (1 = ocurrió)"/>
    <tableColumn id="8" name="Caso C (1 = ocurrió)"/>
  </tableColumns>
  <tableStyleInfo name="TableStyleLight15" showRowStripes="1" showColumnStripes="0"/>
</table>
</file>

<file path=xl/tables/table3.xml><?xml version="1.0" encoding="utf-8"?>
<table xmlns="http://schemas.openxmlformats.org/spreadsheetml/2006/main" id="3" name="T02_1" displayName="T02_1" ref="A4:G31" headerRowCount="1">
  <autoFilter ref="A4:G31"/>
  <tableColumns count="7">
    <tableColumn id="1" name="Comuna"/>
    <tableColumn id="2" name="Zona"/>
    <tableColumn id="3" name="Prioridad"/>
    <tableColumn id="4" name="Puntos Engagement"/>
    <tableColumn id="5" name="Potencial Financial (0–100)"/>
    <tableColumn id="6" name="Ejecutiva de zona (ficticia)"/>
    <tableColumn id="7" name="Ruta (demo)"/>
  </tableColumns>
  <tableStyleInfo name="TableStyleLight15" showRowStripes="1" showColumnStripes="0"/>
</table>
</file>

<file path=xl/tables/table4.xml><?xml version="1.0" encoding="utf-8"?>
<table xmlns="http://schemas.openxmlformats.org/spreadsheetml/2006/main" id="4" name="T03_1" displayName="T03_1" ref="A4:C10" headerRowCount="1">
  <autoFilter ref="A4:C10"/>
  <tableColumns count="3">
    <tableColumn id="1" name="Componente"/>
    <tableColumn id="2" name="Peso"/>
    <tableColumn id="3" name="Normalización (0–100)"/>
  </tableColumns>
  <tableStyleInfo name="TableStyleLight15" showRowStripes="1" showColumnStripes="0"/>
</table>
</file>

<file path=xl/tables/table5.xml><?xml version="1.0" encoding="utf-8"?>
<table xmlns="http://schemas.openxmlformats.org/spreadsheetml/2006/main" id="5" name="T03_2" displayName="T03_2" ref="A12:P32" headerRowCount="1">
  <autoFilter ref="A12:P32"/>
  <tableColumns count="16">
    <tableColumn id="1" name="Cliente (ficticio)"/>
    <tableColumn id="2" name="Tipo"/>
    <tableColumn id="3" name="Comuna"/>
    <tableColumn id="4" name="Ticket promedio (CLP, ficticio)"/>
    <tableColumn id="5" name="Pedidos 180 días"/>
    <tableColumn id="6" name="Margen relativo"/>
    <tableColumn id="7" name="Categorías"/>
    <tableColumn id="8" name="Ticket n"/>
    <tableColumn id="9" name="Frecuencia n"/>
    <tableColumn id="10" name="Margen n"/>
    <tableColumn id="11" name="Amplitud n"/>
    <tableColumn id="12" name="Zona n"/>
    <tableColumn id="13" name="Financial (Excel)"/>
    <tableColumn id="14" name="Financial (prototipo)"/>
    <tableColumn id="15" name="Diferencia"/>
    <tableColumn id="16" name="Tipo de cliente (prototipo)"/>
  </tableColumns>
  <tableStyleInfo name="TableStyleLight15" showRowStripes="1" showColumnStripes="0"/>
</table>
</file>

<file path=xl/tables/table6.xml><?xml version="1.0" encoding="utf-8"?>
<table xmlns="http://schemas.openxmlformats.org/spreadsheetml/2006/main" id="6" name="T04_1" displayName="T04_1" ref="A4:L36" headerRowCount="1">
  <autoFilter ref="A4:L36"/>
  <tableColumns count="12">
    <tableColumn id="1" name="ID"/>
    <tableColumn id="2" name="KPI"/>
    <tableColumn id="3" name="Tipo"/>
    <tableColumn id="4" name="Fórmula"/>
    <tableColumn id="5" name="Unidad"/>
    <tableColumn id="6" name="Ventana / período"/>
    <tableColumn id="7" name="Fuente de datos"/>
    <tableColumn id="8" name="Frecuencia"/>
    <tableColumn id="9" name="Responsable"/>
    <tableColumn id="10" name="Línea base"/>
    <tableColumn id="11" name="Umbral o meta propuesta"/>
    <tableColumn id="12" name="Decisión que apoya"/>
  </tableColumns>
  <tableStyleInfo name="TableStyleLight15" showRowStripes="1" showColumnStripes="0"/>
</table>
</file>

<file path=xl/tables/table7.xml><?xml version="1.0" encoding="utf-8"?>
<table xmlns="http://schemas.openxmlformats.org/spreadsheetml/2006/main" id="7" name="T05_1" displayName="T05_1" ref="A4:L14" headerRowCount="1">
  <autoFilter ref="A4:L14"/>
  <tableColumns count="12">
    <tableColumn id="1" name="ID"/>
    <tableColumn id="2" name="Nombre"/>
    <tableColumn id="3" name="Segmento"/>
    <tableColumn id="4" name="Etapa del funnel"/>
    <tableColumn id="5" name="Gatillador (evento)"/>
    <tableColumn id="6" name="Condición"/>
    <tableColumn id="7" name="Espera"/>
    <tableColumn id="8" name="Canal"/>
    <tableColumn id="9" name="Acción y contenido"/>
    <tableColumn id="10" name="Supresión / salida"/>
    <tableColumn id="11" name="KPI"/>
    <tableColumn id="12" name="Dónde se ve en el prototipo"/>
  </tableColumns>
  <tableStyleInfo name="TableStyleLight15" showRowStripes="1" showColumnStripes="0"/>
</table>
</file>

<file path=xl/tables/table8.xml><?xml version="1.0" encoding="utf-8"?>
<table xmlns="http://schemas.openxmlformats.org/spreadsheetml/2006/main" id="8" name="T06_1" displayName="T06_1" ref="A4:H14" headerRowCount="1">
  <autoFilter ref="A4:H14"/>
  <tableColumns count="8">
    <tableColumn id="1" name="Pieza"/>
    <tableColumn id="2" name="Formato"/>
    <tableColumn id="3" name="Etapa"/>
    <tableColumn id="4" name="Segmento"/>
    <tableColumn id="5" name="Objetivo"/>
    <tableColumn id="6" name="CTA"/>
    <tableColumn id="7" name="Workflow"/>
    <tableColumn id="8" name="Estado"/>
  </tableColumns>
  <tableStyleInfo name="TableStyleLight15" showRowStripes="1" showColumnStripes="0"/>
</table>
</file>

<file path=xl/tables/table9.xml><?xml version="1.0" encoding="utf-8"?>
<table xmlns="http://schemas.openxmlformats.org/spreadsheetml/2006/main" id="9" name="T06_2" displayName="T06_2" ref="A16:L28" headerRowCount="1">
  <autoFilter ref="A16:L28"/>
  <tableColumns count="12">
    <tableColumn id="1" name="ID"/>
    <tableColumn id="2" name="Etapa del ciclo"/>
    <tableColumn id="3" name="Táctica"/>
    <tableColumn id="4" name="Público"/>
    <tableColumn id="5" name="Acción"/>
    <tableColumn id="6" name="Pieza"/>
    <tableColumn id="7" name="Valor / CTA"/>
    <tableColumn id="8" name="Evento y automatización"/>
    <tableColumn id="9" name="Agente"/>
    <tableColumn id="10" name="Indicador"/>
    <tableColumn id="11" name="Medición"/>
    <tableColumn id="12" name="Estado"/>
  </tableColumns>
  <tableStyleInfo name="TableStyleLight15" showRowStripes="1" showColumnStripes="0"/>
</table>
</file>

<file path=xl/tables/table10.xml><?xml version="1.0" encoding="utf-8"?>
<table xmlns="http://schemas.openxmlformats.org/spreadsheetml/2006/main" id="10" name="T06_3" displayName="T06_3" ref="A30:I39" headerRowCount="1">
  <autoFilter ref="A30:I39"/>
  <tableColumns count="9">
    <tableColumn id="1" name="Canal / táctica"/>
    <tableColumn id="2" name="Segmento"/>
    <tableColumn id="3" name="Intención o idea"/>
    <tableColumn id="4" name="Destino o activo"/>
    <tableColumn id="5" name="Ejemplo de pieza / estructura"/>
    <tableColumn id="6" name="Valor y siguiente acción"/>
    <tableColumn id="7" name="Evento y automatización"/>
    <tableColumn id="8" name="Indicador"/>
    <tableColumn id="9" name="Control"/>
  </tableColumns>
  <tableStyleInfo name="TableStyleLight15" showRowStripes="1" showColumnStripes="0"/>
</table>
</file>

<file path=xl/tables/table11.xml><?xml version="1.0" encoding="utf-8"?>
<table xmlns="http://schemas.openxmlformats.org/spreadsheetml/2006/main" id="11" name="T07_1" displayName="T07_1" ref="A4:H13" headerRowCount="1">
  <autoFilter ref="A4:H13"/>
  <tableColumns count="8">
    <tableColumn id="1" name="ID"/>
    <tableColumn id="2" name="Rol"/>
    <tableColumn id="3" name="Tarea (se lee al participante)"/>
    <tableColumn id="4" name="Pantallas"/>
    <tableColumn id="5" name="Criterio de éxito"/>
    <tableColumn id="6" name="Métricas"/>
    <tableColumn id="7" name="Umbral"/>
    <tableColumn id="8" name="Ronda 1 (15-10)"/>
  </tableColumns>
  <tableStyleInfo name="TableStyleLight15" showRowStripes="1" showColumnStripes="0"/>
</table>
</file>

<file path=xl/tables/table12.xml><?xml version="1.0" encoding="utf-8"?>
<table xmlns="http://schemas.openxmlformats.org/spreadsheetml/2006/main" id="12" name="T08_1" displayName="T08_1" ref="A4:P12" headerRowCount="1">
  <autoFilter ref="A4:P12"/>
  <tableColumns count="16">
    <tableColumn id="1" name="Participante"/>
    <tableColumn id="2" name="Perfil / rol"/>
    <tableColumn id="3" name="Dispositivo"/>
    <tableColumn id="4" name="Tarea"/>
    <tableColumn id="5" name="Éxito (1 / 0,5 / 0)"/>
    <tableColumn id="6" name="Tiempo (s)"/>
    <tableColumn id="7" name="Pidió ayuda (1/0)"/>
    <tableColumn id="8" name="SEQ (1–7)"/>
    <tableColumn id="9" name="Toques"/>
    <tableColumn id="10" name="Toques sin respuesta"/>
    <tableColumn id="11" name="Primera acción (s)"/>
    <tableColumn id="12" name="Hasta Empresas (s)"/>
    <tableColumn id="13" name="Pausa más larga (s)"/>
    <tableColumn id="14" name="Pantalla con más tiempo"/>
    <tableColumn id="15" name="SUS"/>
    <tableColumn id="16" name="Nota del moderador (resumen)"/>
  </tableColumns>
  <tableStyleInfo name="TableStyleLight15" showRowStripes="1" showColumnStripes="0"/>
</table>
</file>

<file path=xl/tables/table13.xml><?xml version="1.0" encoding="utf-8"?>
<table xmlns="http://schemas.openxmlformats.org/spreadsheetml/2006/main" id="13" name="T08_2" displayName="T08_2" ref="A14:I17" headerRowCount="1">
  <autoFilter ref="A14:I17"/>
  <tableColumns count="9">
    <tableColumn id="1" name="Tarea"/>
    <tableColumn id="2" name="Perfil"/>
    <tableColumn id="3" name="Intentos"/>
    <tableColumn id="4" name="Éxito sin ayuda (%)"/>
    <tableColumn id="5" name="Éxito total (%)"/>
    <tableColumn id="6" name="Tiempo promedio (s)"/>
    <tableColumn id="7" name="SEQ promedio"/>
    <tableColumn id="8" name="Umbral de éxito"/>
    <tableColumn id="9" name="¿Cumple?"/>
  </tableColumns>
  <tableStyleInfo name="TableStyleLight15" showRowStripes="1" showColumnStripes="0"/>
</table>
</file>

<file path=xl/tables/table14.xml><?xml version="1.0" encoding="utf-8"?>
<table xmlns="http://schemas.openxmlformats.org/spreadsheetml/2006/main" id="14" name="T09_1" displayName="T09_1" ref="A4:E11" headerRowCount="1">
  <autoFilter ref="A4:E11"/>
  <tableColumns count="5">
    <tableColumn id="1" name="Participante"/>
    <tableColumn id="2" name="Perfil"/>
    <tableColumn id="3" name="Dispositivo"/>
    <tableColumn id="4" name="SUS (0–100)"/>
    <tableColumn id="5" name="Lectura"/>
  </tableColumns>
  <tableStyleInfo name="TableStyleLight15" showRowStripes="1" showColumnStripes="0"/>
</table>
</file>

<file path=xl/tables/table15.xml><?xml version="1.0" encoding="utf-8"?>
<table xmlns="http://schemas.openxmlformats.org/spreadsheetml/2006/main" id="15" name="T09_2" displayName="T09_2" ref="A14:L17" headerRowCount="1">
  <autoFilter ref="A14:L17"/>
  <tableColumns count="12">
    <tableColumn id="1" name="Participante"/>
    <tableColumn id="2" name="Í1"/>
    <tableColumn id="3" name="Í2"/>
    <tableColumn id="4" name="Í3"/>
    <tableColumn id="5" name="Í4"/>
    <tableColumn id="6" name="Í5"/>
    <tableColumn id="7" name="Í6"/>
    <tableColumn id="8" name="Í7"/>
    <tableColumn id="9" name="Í8"/>
    <tableColumn id="10" name="Í9"/>
    <tableColumn id="11" name="Í10"/>
    <tableColumn id="12" name="SUS"/>
  </tableColumns>
  <tableStyleInfo name="TableStyleLight15" showRowStripes="1" showColumnStripes="0"/>
</table>
</file>

<file path=xl/tables/table16.xml><?xml version="1.0" encoding="utf-8"?>
<table xmlns="http://schemas.openxmlformats.org/spreadsheetml/2006/main" id="16" name="T09_3" displayName="T09_3" ref="A19:B29" headerRowCount="1">
  <autoFilter ref="A19:B29"/>
  <tableColumns count="2">
    <tableColumn id="1" name="N.º"/>
    <tableColumn id="2" name="Ítem del cuestionario"/>
  </tableColumns>
  <tableStyleInfo name="TableStyleLight15" showRowStripes="1" showColumnStripes="0"/>
</table>
</file>

<file path=xl/tables/table17.xml><?xml version="1.0" encoding="utf-8"?>
<table xmlns="http://schemas.openxmlformats.org/spreadsheetml/2006/main" id="17" name="T10_1" displayName="T10_1" ref="A4:N40" headerRowCount="1">
  <autoFilter ref="A4:N40"/>
  <tableColumns count="14">
    <tableColumn id="1" name="ID"/>
    <tableColumn id="2" name="Ciclo"/>
    <tableColumn id="3" name="Fecha"/>
    <tableColumn id="4" name="Fuente de evidencia"/>
    <tableColumn id="5" name="Pantalla / tarea"/>
    <tableColumn id="6" name="Hallazgo (fricción)"/>
    <tableColumn id="7" name="Evidencia (cita u observación)"/>
    <tableColumn id="8" name="Frecuencia"/>
    <tableColumn id="9" name="Impacto"/>
    <tableColumn id="10" name="Persistencia"/>
    <tableColumn id="11" name="Severidad (0–4)"/>
    <tableColumn id="12" name="Mejora incorporada"/>
    <tableColumn id="13" name="Versión"/>
    <tableColumn id="14" name="Estado"/>
  </tableColumns>
  <tableStyleInfo name="TableStyleLight15" showRowStripes="1" showColumnStripes="0"/>
</table>
</file>

<file path=xl/tables/table18.xml><?xml version="1.0" encoding="utf-8"?>
<table xmlns="http://schemas.openxmlformats.org/spreadsheetml/2006/main" id="18" name="T11_1" displayName="T11_1" ref="A4:E21" headerRowCount="1">
  <autoFilter ref="A4:E21"/>
  <tableColumns count="5">
    <tableColumn id="1" name="Métrica de diseño"/>
    <tableColumn id="2" name="v3 (09-10)"/>
    <tableColumn id="3" name="v4 (10-10)"/>
    <tableColumn id="4" name="v5 (12-10)"/>
    <tableColumn id="5" name="Cómo se verificó"/>
  </tableColumns>
  <tableStyleInfo name="TableStyleLight15" showRowStripes="1" showColumnStripes="0"/>
</table>
</file>

<file path=xl/tables/table19.xml><?xml version="1.0" encoding="utf-8"?>
<table xmlns="http://schemas.openxmlformats.org/spreadsheetml/2006/main" id="19" name="T11_2" displayName="T11_2" ref="A24:E31" headerRowCount="1">
  <autoFilter ref="A24:E31"/>
  <tableColumns count="5">
    <tableColumn id="1" name="Parte B · Resultado del test (ronda 1, 15-10-2026)"/>
    <tableColumn id="2" name="Umbral"/>
    <tableColumn id="3" name="Resultado"/>
    <tableColumn id="4" name="¿Cumple?"/>
    <tableColumn id="5" name="Fuente"/>
  </tableColumns>
  <tableStyleInfo name="TableStyleLight15" showRowStripes="1" showColumnStripes="0"/>
</table>
</file>

<file path=xl/tables/table20.xml><?xml version="1.0" encoding="utf-8"?>
<table xmlns="http://schemas.openxmlformats.org/spreadsheetml/2006/main" id="20" name="T11_3" displayName="T11_3" ref="A34:E49" headerRowCount="1">
  <autoFilter ref="A34:E49"/>
  <tableColumns count="5">
    <tableColumn id="1" name="Parte C · Cambio verificado después del test (v5 probado → v6.1)"/>
    <tableColumn id="2" name="v5 (probado el 15-10)"/>
    <tableColumn id="3" name="v6.1 (15-10)"/>
    <tableColumn id="4" name="Cómo se verificó"/>
    <tableColumn id="5" name="Hallazgo"/>
  </tableColumns>
  <tableStyleInfo name="TableStyleLight15" showRowStripes="1" showColumnStripes="0"/>
</table>
</file>

<file path=xl/tables/table21.xml><?xml version="1.0" encoding="utf-8"?>
<table xmlns="http://schemas.openxmlformats.org/spreadsheetml/2006/main" id="21" name="T12_1" displayName="T12_1" ref="A4:H32" headerRowCount="1">
  <autoFilter ref="A4:H32"/>
  <tableColumns count="8">
    <tableColumn id="1" name="ID"/>
    <tableColumn id="2" name="Tipo"/>
    <tableColumn id="3" name="Descripción"/>
    <tableColumn id="4" name="Riesgo si es falso"/>
    <tableColumn id="5" name="Cómo se valida / experimento"/>
    <tableColumn id="6" name="Métrica"/>
    <tableColumn id="7" name="Criterio de decisión"/>
    <tableColumn id="8" name="Prioridad"/>
  </tableColumns>
  <tableStyleInfo name="TableStyleLight15" showRowStripes="1" showColumnStripes="0"/>
</table>
</file>

<file path=xl/tables/table22.xml><?xml version="1.0" encoding="utf-8"?>
<table xmlns="http://schemas.openxmlformats.org/spreadsheetml/2006/main" id="22" name="T13_1" displayName="T13_1" ref="A4:B50" headerRowCount="1">
  <autoFilter ref="A4:B50"/>
  <tableColumns count="2">
    <tableColumn id="1" name="Término"/>
    <tableColumn id="2" name="Definición"/>
  </tableColumns>
  <tableStyleInfo name="TableStyleLight15" showRowStripes="1" showColumnStripes="0"/>
</table>
</file>

<file path=xl/tables/table23.xml><?xml version="1.0" encoding="utf-8"?>
<table xmlns="http://schemas.openxmlformats.org/spreadsheetml/2006/main" id="23" name="T14_1" displayName="T14_1" ref="A4:D36" headerRowCount="1">
  <autoFilter ref="A4:D36"/>
  <tableColumns count="4">
    <tableColumn id="1" name="Versión"/>
    <tableColumn id="2" name="Fecha"/>
    <tableColumn id="3" name="Archivo"/>
    <tableColumn id="4" name="Cambio principal"/>
  </tableColumns>
  <tableStyleInfo name="TableStyleLight15" showRowStripes="1" showColumnStripes="0"/>
</table>
</file>

<file path=xl/tables/table24.xml><?xml version="1.0" encoding="utf-8"?>
<table xmlns="http://schemas.openxmlformats.org/spreadsheetml/2006/main" id="24" name="T15_1" displayName="T15_1" ref="A4:K11" headerRowCount="1">
  <autoFilter ref="A4:K11"/>
  <tableColumns count="11">
    <tableColumn id="1" name="LM"/>
    <tableColumn id="2" name="Nombre"/>
    <tableColumn id="3" name="Promesa (texto en pantalla)"/>
    <tableColumn id="4" name="Pantalla"/>
    <tableColumn id="5" name="Aparece"/>
    <tableColumn id="6" name="Qué recibe el cliente"/>
    <tableColumn id="7" name="Qué obtiene Marley Coffee"/>
    <tableColumn id="8" name="Señal / puntaje"/>
    <tableColumn id="9" name="Agente"/>
    <tableColumn id="10" name="Indicador para medirlo"/>
    <tableColumn id="11" name="Siguiente paso"/>
  </tableColumns>
  <tableStyleInfo name="TableStyleLight15" showRowStripes="1" showColumnStripes="0"/>
</table>
</file>

<file path=xl/tables/table25.xml><?xml version="1.0" encoding="utf-8"?>
<table xmlns="http://schemas.openxmlformats.org/spreadsheetml/2006/main" id="25" name="T16_1" displayName="T16_1" ref="A4:D22" headerRowCount="1">
  <autoFilter ref="A4:D22"/>
  <tableColumns count="4">
    <tableColumn id="1" name="Concepto"/>
    <tableColumn id="2" name="Hoy"/>
    <tableColumn id="3" name="Meta / escenario"/>
    <tableColumn id="4" name="Fórmula o fuente"/>
  </tableColumns>
  <tableStyleInfo name="TableStyleLight15" showRowStripes="1" showColumnStripes="0"/>
</table>
</file>

<file path=xl/tables/table26.xml><?xml version="1.0" encoding="utf-8"?>
<table xmlns="http://schemas.openxmlformats.org/spreadsheetml/2006/main" id="26" name="T17_1" displayName="T17_1" ref="A4:F15" headerRowCount="1">
  <autoFilter ref="A4:F15"/>
  <tableColumns count="6">
    <tableColumn id="1" name="Sistema"/>
    <tableColumn id="2" name="Qué guarda o hace"/>
    <tableColumn id="3" name="Evidencia"/>
    <tableColumn id="4" name="Conexión"/>
    <tableColumn id="5" name="Estado para el piloto"/>
    <tableColumn id="6" name="Alternativa si no hay API"/>
  </tableColumns>
  <tableStyleInfo name="TableStyleLight15" showRowStripes="1" showColumnStripes="0"/>
</table>
</file>

<file path=xl/tables/table27.xml><?xml version="1.0" encoding="utf-8"?>
<table xmlns="http://schemas.openxmlformats.org/spreadsheetml/2006/main" id="27" name="T17_2" displayName="T17_2" ref="A18:F51" headerRowCount="1">
  <autoFilter ref="A18:F51"/>
  <tableColumns count="6">
    <tableColumn id="1" name="Acción del agente"/>
    <tableColumn id="2" name="Método"/>
    <tableColumn id="3" name="Endpoint propio"/>
    <tableColumn id="4" name="Sistema destino"/>
    <tableColumn id="5" name="Qué hace / API del sistema"/>
    <tableColumn id="6" name="Decide una persona"/>
  </tableColumns>
  <tableStyleInfo name="TableStyleLight15" showRowStripes="1" showColumnStripes="0"/>
</table>
</file>

<file path=xl/tables/table28.xml><?xml version="1.0" encoding="utf-8"?>
<table xmlns="http://schemas.openxmlformats.org/spreadsheetml/2006/main" id="28" name="T17_3" displayName="T17_3" ref="A54:G61" headerRowCount="1">
  <autoFilter ref="A54:G61"/>
  <tableColumns count="7">
    <tableColumn id="1" name="Área"/>
    <tableColumn id="2" name="Hoy (manual) *"/>
    <tableColumn id="3" name="Agente"/>
    <tableColumn id="4" name="Hace solo"/>
    <tableColumn id="5" name="Decide una persona"/>
    <tableColumn id="6" name="Sistemas"/>
    <tableColumn id="7" name="KPI"/>
  </tableColumns>
  <tableStyleInfo name="TableStyleLight15" showRowStripes="1" showColumnStripes="0"/>
</table>
</file>

<file path=xl/tables/table29.xml><?xml version="1.0" encoding="utf-8"?>
<table xmlns="http://schemas.openxmlformats.org/spreadsheetml/2006/main" id="29" name="T18_1" displayName="T18_1" ref="A4:K11" headerRowCount="1">
  <autoFilter ref="A4:K11"/>
  <tableColumns count="11">
    <tableColumn id="1" name="Flywheel"/>
    <tableColumn id="2" name="Etapa del embudo"/>
    <tableColumn id="3" name="Objetivo"/>
    <tableColumn id="4" name="Segmento"/>
    <tableColumn id="5" name="Pieza (audiovisual o gráfica)"/>
    <tableColumn id="6" name="Lead magnet"/>
    <tableColumn id="7" name="Canal"/>
    <tableColumn id="8" name="Gatillador y workflow"/>
    <tableColumn id="9" name="Agente"/>
    <tableColumn id="10" name="KPI"/>
    <tableColumn id="11" name="Puntaje que suma (acumulado)"/>
  </tableColumns>
  <tableStyleInfo name="TableStyleLight15" showRowStripes="1" showColumnStripes="0"/>
</table>
</file>

<file path=xl/tables/table30.xml><?xml version="1.0" encoding="utf-8"?>
<table xmlns="http://schemas.openxmlformats.org/spreadsheetml/2006/main" id="30" name="T18_2" displayName="T18_2" ref="A14:E18" headerRowCount="1">
  <autoFilter ref="A14:E18"/>
  <tableColumns count="5">
    <tableColumn id="1" name="Negocio"/>
    <tableColumn id="2" name="Exploración (pieza)"/>
    <tableColumn id="3" name="Evaluación: LM3 muestra"/>
    <tableColumn id="4" name="Conversión y expansión: LM4 / LM6 ofrecen primero"/>
    <tableColumn id="5" name="Nutrición W10 (A/B: guía + video; C/R: guía + cobertura)"/>
  </tableColumns>
  <tableStyleInfo name="TableStyleLight15" showRowStripes="1" showColumnStripes="0"/>
</table>
</file>

<file path=xl/tables/table31.xml><?xml version="1.0" encoding="utf-8"?>
<table xmlns="http://schemas.openxmlformats.org/spreadsheetml/2006/main" id="31" name="T18_3" displayName="T18_3" ref="A21:D37" headerRowCount="1">
  <autoFilter ref="A21:D37"/>
  <tableColumns count="4">
    <tableColumn id="1" name="Etapa del flywheel"/>
    <tableColumn id="2" name="Táctica"/>
    <tableColumn id="3" name="Qué se hace"/>
    <tableColumn id="4" name="Cómo se mide"/>
  </tableColumns>
  <tableStyleInfo name="TableStyleLight15" showRowStripes="1" showColumnStripes="0"/>
</table>
</file>

<file path=xl/tables/table32.xml><?xml version="1.0" encoding="utf-8"?>
<table xmlns="http://schemas.openxmlformats.org/spreadsheetml/2006/main" id="32" name="T19_1" displayName="T19_1" ref="A4:K8" headerRowCount="1">
  <autoFilter ref="A4:K8"/>
  <tableColumns count="11">
    <tableColumn id="1" name="ID"/>
    <tableColumn id="2" name="Máquina"/>
    <tableColumn id="3" name="Tipo"/>
    <tableColumn id="4" name="Para"/>
    <tableColumn id="5" name="Tazas al día"/>
    <tableColumn id="6" name="Formato"/>
    <tableColumn id="7" name="Personal"/>
    <tableColumn id="8" name="Compra directa mín (pago único)"/>
    <tableColumn id="9" name="Compra directa máx (pago único)"/>
    <tableColumn id="10" name="Arriendo mín / mes"/>
    <tableColumn id="11" name="Arriendo máx / mes"/>
  </tableColumns>
  <tableStyleInfo name="TableStyleLight15" showRowStripes="1" showColumnStripes="0"/>
</table>
</file>

<file path=xl/tables/table33.xml><?xml version="1.0" encoding="utf-8"?>
<table xmlns="http://schemas.openxmlformats.org/spreadsheetml/2006/main" id="33" name="T19_2" displayName="T19_2" ref="A10:H13" headerRowCount="1">
  <autoFilter ref="A10:H13"/>
  <tableColumns count="8">
    <tableColumn id="1" name="Insumo"/>
    <tableColumn id="2" name="Unidad"/>
    <tableColumn id="3" name="Precio mín"/>
    <tableColumn id="4" name="Precio máx"/>
    <tableColumn id="5" name="Tazas por unidad"/>
    <tableColumn id="6" name="Costo por taza mín"/>
    <tableColumn id="7" name="Costo por taza máx"/>
    <tableColumn id="8" name="Nota"/>
  </tableColumns>
  <tableStyleInfo name="TableStyleLight15" showRowStripes="1" showColumnStripes="0"/>
</table>
</file>

<file path=xl/tables/table34.xml><?xml version="1.0" encoding="utf-8"?>
<table xmlns="http://schemas.openxmlformats.org/spreadsheetml/2006/main" id="34" name="T19_3" displayName="T19_3" ref="A15:F22" headerRowCount="1">
  <autoFilter ref="A15:F22"/>
  <tableColumns count="6">
    <tableColumn id="1" name="Servicio"/>
    <tableColumn id="2" name="Descripción"/>
    <tableColumn id="3" name="Mín"/>
    <tableColumn id="4" name="Máx"/>
    <tableColumn id="5" name="Unidad"/>
    <tableColumn id="6" name="Fuente"/>
  </tableColumns>
  <tableStyleInfo name="TableStyleLight15" showRowStripes="1" showColumnStripes="0"/>
</table>
</file>

<file path=xl/tables/table35.xml><?xml version="1.0" encoding="utf-8"?>
<table xmlns="http://schemas.openxmlformats.org/spreadsheetml/2006/main" id="35" name="T19_4" displayName="T19_4" ref="A24:D26" headerRowCount="1">
  <autoFilter ref="A24:D26"/>
  <tableColumns count="4">
    <tableColumn id="1" name="Referencia pública (dato real)"/>
    <tableColumn id="2" name="Mín"/>
    <tableColumn id="3" name="Máx"/>
    <tableColumn id="4" name="Fuente"/>
  </tableColumns>
  <tableStyleInfo name="TableStyleLight15" showRowStripes="1" showColumnStripes="0"/>
</table>
</file>

<file path=xl/tables/table36.xml><?xml version="1.0" encoding="utf-8"?>
<table xmlns="http://schemas.openxmlformats.org/spreadsheetml/2006/main" id="36" name="T19_5" displayName="T19_5" ref="A48:D51" headerRowCount="1">
  <autoFilter ref="A48:D51"/>
  <tableColumns count="4">
    <tableColumn id="1" name="Modalidad"/>
    <tableColumn id="2" name="Estado"/>
    <tableColumn id="3" name="Base"/>
    <tableColumn id="4" name="Cómo se presenta"/>
  </tableColumns>
  <tableStyleInfo name="TableStyleLight15" showRowStripes="1" showColumnStripes="0"/>
</table>
</file>

<file path=xl/tables/table37.xml><?xml version="1.0" encoding="utf-8"?>
<table xmlns="http://schemas.openxmlformats.org/spreadsheetml/2006/main" id="37" name="T20_1" displayName="T20_1" ref="A4:G7" headerRowCount="1">
  <autoFilter ref="A4:G7"/>
  <tableColumns count="7">
    <tableColumn id="1" name="Rol"/>
    <tableColumn id="2" name="Usuario (demo)"/>
    <tableColumn id="3" name="Pregunta que decide"/>
    <tableColumn id="4" name="Inicio"/>
    <tableColumn id="5" name="Menú (5 secciones)"/>
    <tableColumn id="6" name="Qué ve"/>
    <tableColumn id="7" name="Qué no ve"/>
  </tableColumns>
  <tableStyleInfo name="TableStyleLight15" showRowStripes="1" showColumnStripes="0"/>
</table>
</file>

<file path=xl/tables/table38.xml><?xml version="1.0" encoding="utf-8"?>
<table xmlns="http://schemas.openxmlformats.org/spreadsheetml/2006/main" id="38" name="T21_1" displayName="T21_1" ref="A4:D12" headerRowCount="1">
  <autoFilter ref="A4:D12"/>
  <tableColumns count="4">
    <tableColumn id="1" name="Pantalla"/>
    <tableColumn id="2" name="Título (title)"/>
    <tableColumn id="3" name="Descripción (meta description)"/>
    <tableColumn id="4" name="Datos estructurados (JSON-LD)"/>
  </tableColumns>
  <tableStyleInfo name="TableStyleLight15" showRowStripes="1" showColumnStripes="0"/>
</table>
</file>

<file path=xl/tables/table39.xml><?xml version="1.0" encoding="utf-8"?>
<table xmlns="http://schemas.openxmlformats.org/spreadsheetml/2006/main" id="39" name="T21_2" displayName="T21_2" ref="A14:D22" headerRowCount="1">
  <autoFilter ref="A14:D22"/>
  <tableColumns count="4">
    <tableColumn id="1" name="Intención de búsqueda (no marca)"/>
    <tableColumn id="2" name="Tipo"/>
    <tableColumn id="3" name="Página destino"/>
    <tableColumn id="4" name="Bloque que responde"/>
  </tableColumns>
  <tableStyleInfo name="TableStyleLight15" showRowStripes="1" showColumnStripes="0"/>
</table>
</file>

<file path=xl/tables/table40.xml><?xml version="1.0" encoding="utf-8"?>
<table xmlns="http://schemas.openxmlformats.org/spreadsheetml/2006/main" id="40" name="T21_3" displayName="T21_3" ref="A25:E38" headerRowCount="1">
  <autoFilter ref="A25:E38"/>
  <tableColumns count="5">
    <tableColumn id="1" name="Página"/>
    <tableColumn id="2" name="Nivel"/>
    <tableColumn id="3" name="Antes"/>
    <tableColumn id="4" name="Ahora"/>
    <tableColumn id="5" name="Intención o consulta que cubre"/>
  </tableColumns>
  <tableStyleInfo name="TableStyleLight15" showRowStripes="1" showColumnStripes="0"/>
</table>
</file>

<file path=xl/tables/table41.xml><?xml version="1.0" encoding="utf-8"?>
<table xmlns="http://schemas.openxmlformats.org/spreadsheetml/2006/main" id="41" name="T22_1" displayName="T22_1" ref="A4:I21" headerRowCount="1">
  <autoFilter ref="A4:I21"/>
  <tableColumns count="9">
    <tableColumn id="1" name="ID"/>
    <tableColumn id="2" name="Pantalla"/>
    <tableColumn id="3" name="Problema observado"/>
    <tableColumn id="4" name="Evidencia"/>
    <tableColumn id="5" name="Cambio aplicado en v6"/>
    <tableColumn id="6" name="Cómo se mide en la ronda 2"/>
    <tableColumn id="7" name="Meta"/>
    <tableColumn id="8" name="Hallazgo"/>
    <tableColumn id="9" name="Estado"/>
  </tableColumns>
  <tableStyleInfo name="TableStyleLight15" showRowStripes="1" showColumnStripes="0"/>
</table>
</file>

<file path=xl/tables/table42.xml><?xml version="1.0" encoding="utf-8"?>
<table xmlns="http://schemas.openxmlformats.org/spreadsheetml/2006/main" id="42" name="T23_1" displayName="T23_1" ref="A4:H10" headerRowCount="1">
  <autoFilter ref="A4:H10"/>
  <tableColumns count="8">
    <tableColumn id="1" name="Momento"/>
    <tableColumn id="2" name="Qué necesita la persona"/>
    <tableColumn id="3" name="Datos mínimos"/>
    <tableColumn id="4" name="Qué hace la IA"/>
    <tableColumn id="5" name="Quién decide o responde"/>
    <tableColumn id="6" name="Siguiente acción"/>
    <tableColumn id="7" name="Recuperación / límite"/>
    <tableColumn id="8" name="Pantallas"/>
  </tableColumns>
  <tableStyleInfo name="TableStyleLight15" showRowStripes="1" showColumnStripes="0"/>
</table>
</file>

<file path=xl/tables/table43.xml><?xml version="1.0" encoding="utf-8"?>
<table xmlns="http://schemas.openxmlformats.org/spreadsheetml/2006/main" id="43" name="T23_2" displayName="T23_2" ref="A12:D19" headerRowCount="1">
  <autoFilter ref="A12:D19"/>
  <tableColumns count="4">
    <tableColumn id="1" name="Estado"/>
    <tableColumn id="2" name="Cómo entra"/>
    <tableColumn id="3" name="Qué ve la persona"/>
    <tableColumn id="4" name="Control"/>
  </tableColumns>
  <tableStyleInfo name="TableStyleLight15" showRowStripes="1" showColumnStripes="0"/>
</table>
</file>

<file path=xl/tables/table44.xml><?xml version="1.0" encoding="utf-8"?>
<table xmlns="http://schemas.openxmlformats.org/spreadsheetml/2006/main" id="44" name="T23_3" displayName="T23_3" ref="A21:C34" headerRowCount="1">
  <autoFilter ref="A21:C34"/>
  <tableColumns count="3">
    <tableColumn id="1" name="Componente"/>
    <tableColumn id="2" name="Diseño de la integración"/>
    <tableColumn id="3" name="Fuente / estado"/>
  </tableColumns>
  <tableStyleInfo name="TableStyleLight15" showRowStripes="1" showColumnStripes="0"/>
</table>
</file>

<file path=xl/tables/table45.xml><?xml version="1.0" encoding="utf-8"?>
<table xmlns="http://schemas.openxmlformats.org/spreadsheetml/2006/main" id="45" name="T23_4" displayName="T23_4" ref="A36:D45" headerRowCount="1">
  <autoFilter ref="A36:D45"/>
  <tableColumns count="4">
    <tableColumn id="1" name="Criterio de aceptación"/>
    <tableColumn id="2" name="Caso a recorrer"/>
    <tableColumn id="3" name="Resultado que se exige"/>
    <tableColumn id="4" name="Medición"/>
  </tableColumns>
  <tableStyleInfo name="TableStyleLight15" showRowStripes="1" showColumnStripes="0"/>
</table>
</file>

<file path=xl/tables/table46.xml><?xml version="1.0" encoding="utf-8"?>
<table xmlns="http://schemas.openxmlformats.org/spreadsheetml/2006/main" id="46" name="T24_1" displayName="T24_1" ref="A4:J21" headerRowCount="1">
  <autoFilter ref="A4:J21"/>
  <tableColumns count="10">
    <tableColumn id="1" name="ID"/>
    <tableColumn id="2" name="Conexión"/>
    <tableColumn id="3" name="Estado"/>
    <tableColumn id="4" name="Evidencia y alcance"/>
    <tableColumn id="5" name="Recurso verificable"/>
    <tableColumn id="6" name="Fuente primaria / referencia"/>
    <tableColumn id="7" name="Qué habilita"/>
    <tableColumn id="8" name="Acceso requerido"/>
    <tableColumn id="9" name="Prueba de aceptación"/>
    <tableColumn id="10" name="Dependencia / límite"/>
  </tableColumns>
  <tableStyleInfo name="TableStyleLight15" showRowStripes="1" showColumnStripes="0"/>
</table>
</file>

<file path=xl/tables/table47.xml><?xml version="1.0" encoding="utf-8"?>
<table xmlns="http://schemas.openxmlformats.org/spreadsheetml/2006/main" id="47" name="T24_2" displayName="T24_2" ref="A23:C26" headerRowCount="1">
  <autoFilter ref="A23:C26"/>
  <tableColumns count="3">
    <tableColumn id="1" name="Nivel de evidencia"/>
    <tableColumn id="2" name="Qué demuestra"/>
    <tableColumn id="3" name="Qué no demuestra"/>
  </tableColumns>
  <tableStyleInfo name="TableStyleLight15" showRowStripes="1" showColumnStripes="0"/>
</table>
</file>

<file path=xl/tables/table48.xml><?xml version="1.0" encoding="utf-8"?>
<table xmlns="http://schemas.openxmlformats.org/spreadsheetml/2006/main" id="48" name="T24_3" displayName="T24_3" ref="A28:C33" headerRowCount="1">
  <autoFilter ref="A28:C33"/>
  <tableColumns count="3">
    <tableColumn id="1" name="Capa"/>
    <tableColumn id="2" name="Estado"/>
    <tableColumn id="3" name="Función y conexión"/>
  </tableColumns>
  <tableStyleInfo name="TableStyleLight15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Relationship Type="http://schemas.openxmlformats.org/officeDocument/2006/relationships/table" Target="/xl/tables/table16.xml" Id="rId3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table" Target="/xl/tables/table19.xml" Id="rId2"/><Relationship Type="http://schemas.openxmlformats.org/officeDocument/2006/relationships/table" Target="/xl/tables/table20.xml" Id="rId3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6.xml" Id="rId1"/><Relationship Type="http://schemas.openxmlformats.org/officeDocument/2006/relationships/table" Target="/xl/tables/table27.xml" Id="rId2"/><Relationship Type="http://schemas.openxmlformats.org/officeDocument/2006/relationships/table" Target="/xl/tables/table28.xml" Id="rId3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9.xml" Id="rId1"/><Relationship Type="http://schemas.openxmlformats.org/officeDocument/2006/relationships/table" Target="/xl/tables/table30.xml" Id="rId2"/><Relationship Type="http://schemas.openxmlformats.org/officeDocument/2006/relationships/table" Target="/xl/tables/table31.xml" Id="rId3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2.xml" Id="rId1"/><Relationship Type="http://schemas.openxmlformats.org/officeDocument/2006/relationships/table" Target="/xl/tables/table33.xml" Id="rId2"/><Relationship Type="http://schemas.openxmlformats.org/officeDocument/2006/relationships/table" Target="/xl/tables/table34.xml" Id="rId3"/><Relationship Type="http://schemas.openxmlformats.org/officeDocument/2006/relationships/table" Target="/xl/tables/table35.xml" Id="rId4"/><Relationship Type="http://schemas.openxmlformats.org/officeDocument/2006/relationships/table" Target="/xl/tables/table36.xml" Id="rId5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38.xml" Id="rId1"/><Relationship Type="http://schemas.openxmlformats.org/officeDocument/2006/relationships/table" Target="/xl/tables/table39.xml" Id="rId2"/><Relationship Type="http://schemas.openxmlformats.org/officeDocument/2006/relationships/table" Target="/xl/tables/table40.xml" Id="rId3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2.xml" Id="rId1"/><Relationship Type="http://schemas.openxmlformats.org/officeDocument/2006/relationships/table" Target="/xl/tables/table43.xml" Id="rId2"/><Relationship Type="http://schemas.openxmlformats.org/officeDocument/2006/relationships/table" Target="/xl/tables/table44.xml" Id="rId3"/><Relationship Type="http://schemas.openxmlformats.org/officeDocument/2006/relationships/table" Target="/xl/tables/table45.xml" Id="rId4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46.xml" Id="rId1"/><Relationship Type="http://schemas.openxmlformats.org/officeDocument/2006/relationships/table" Target="/xl/tables/table47.xml" Id="rId2"/><Relationship Type="http://schemas.openxmlformats.org/officeDocument/2006/relationships/table" Target="/xl/tables/table48.xml" Id="rId3"/></Relationships>
</file>

<file path=xl/worksheets/sheet1.xml><?xml version="1.0" encoding="utf-8"?>
<worksheet xmlns="http://schemas.openxmlformats.org/spreadsheetml/2006/main">
  <sheetPr>
    <tabColor rgb="00171717"/>
    <outlinePr summaryBelow="1" summaryRight="1"/>
    <pageSetUpPr fitToPage="1"/>
  </sheetPr>
  <dimension ref="A1:B2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Anexo E · Matrices auditables del MVP Marley Coffee HORECA</t>
        </is>
      </c>
      <c r="B1" s="2" t="n"/>
    </row>
    <row r="2" ht="16" customHeight="1">
      <c r="A2" s="3" t="inlineStr">
        <is>
          <t>Versión 1.8 · 15-10-2026 (arriendo, compra directa y atención continua) · citado desde el informe EP3 (secciones 1.1 a 1.7 y anexos).</t>
        </is>
      </c>
    </row>
    <row r="3"/>
    <row r="4" ht="30" customHeight="1">
      <c r="A4" s="4" t="inlineStr">
        <is>
          <t>Hoja</t>
        </is>
      </c>
      <c r="B4" s="4" t="inlineStr">
        <is>
          <t>Contenido</t>
        </is>
      </c>
    </row>
    <row r="5">
      <c r="A5" s="5" t="inlineStr">
        <is>
          <t>01_ENGAGEMENT</t>
        </is>
      </c>
      <c r="B5" s="6" t="inlineStr">
        <is>
          <t>Engagement Score v1.1: 13 eventos M2 + evento 14 (comuna). Calculadora con 3 casos; cambia las celdas amarillas.</t>
        </is>
      </c>
    </row>
    <row r="6">
      <c r="A6" s="5" t="inlineStr">
        <is>
          <t>02_ZONAS</t>
        </is>
      </c>
      <c r="B6" s="6" t="inlineStr">
        <is>
          <t>Comunas, prioridad geográfica (A, B, C, regiones), puntos, potencial, ejecutiva de zona (ficticia) y ruta (demo).</t>
        </is>
      </c>
    </row>
    <row r="7">
      <c r="A7" s="5" t="inlineStr">
        <is>
          <t>03_FINANCIAL</t>
        </is>
      </c>
      <c r="B7" s="6" t="inlineStr">
        <is>
          <t>Financial Score v0.1 con pesos editables y cálculo para 20 cuentas ficticias; compara con el valor del prototipo.</t>
        </is>
      </c>
    </row>
    <row r="8">
      <c r="A8" s="5" t="inlineStr">
        <is>
          <t>04_KPIS</t>
        </is>
      </c>
      <c r="B8" s="6" t="inlineStr">
        <is>
          <t>KPIs comerciales, operacionales, de inbound y de experiencia: fórmula, unidad, ventana, fuente, frecuencia, responsable y umbral.</t>
        </is>
      </c>
    </row>
    <row r="9">
      <c r="A9" s="5" t="inlineStr">
        <is>
          <t>05_WORKFLOWS</t>
        </is>
      </c>
      <c r="B9" s="6" t="inlineStr">
        <is>
          <t>Workflows de inbound automatizado: gatillador, condición, espera, canal, contenido, supresión y KPI.</t>
        </is>
      </c>
    </row>
    <row r="10">
      <c r="A10" s="5" t="inlineStr">
        <is>
          <t>06_CONTENIDOS</t>
        </is>
      </c>
      <c r="B10" s="6" t="inlineStr">
        <is>
          <t>Piezas audiovisuales y gráficas por etapa del funnel y segmento, con estado.</t>
        </is>
      </c>
    </row>
    <row r="11">
      <c r="A11" s="5" t="inlineStr">
        <is>
          <t>07_TEST_PLAN</t>
        </is>
      </c>
      <c r="B11" s="6" t="inlineStr">
        <is>
          <t>Plan de test de usabilidad: tareas críticas, criterio de éxito, métricas y umbrales; cuáles se midieron en la ronda 1 (15-10).</t>
        </is>
      </c>
    </row>
    <row r="12">
      <c r="A12" s="5" t="inlineStr">
        <is>
          <t>08_TEST_REGISTRO</t>
        </is>
      </c>
      <c r="B12" s="6" t="inlineStr">
        <is>
          <t>Registro real de la ronda 1 (P1 a P5, 15-10-2026) y filas para la ronda 2. El resumen por tarea se calcula solo.</t>
        </is>
      </c>
    </row>
    <row r="13">
      <c r="A13" s="5" t="inlineStr">
        <is>
          <t>09_SUS</t>
        </is>
      </c>
      <c r="B13" s="6" t="inlineStr">
        <is>
          <t>SUS por participante en la ronda 1 (puntaje registrado por el test) y cuestionario de 10 ítems con su fórmula para la ronda 2.</t>
        </is>
      </c>
    </row>
    <row r="14">
      <c r="A14" s="5" t="inlineStr">
        <is>
          <t>10_HALLAZGOS</t>
        </is>
      </c>
      <c r="B14" s="6" t="inlineStr">
        <is>
          <t>Hallazgos con frecuencia, impacto, severidad (0–4) y mejora. Ciclo 0 = revisión interna (09 a 12-10); ciclo 1 = test con 5 usuarios (15-10).</t>
        </is>
      </c>
    </row>
    <row r="15">
      <c r="A15" s="5" t="inlineStr">
        <is>
          <t>11_COMPARACION</t>
        </is>
      </c>
      <c r="B15" s="6" t="inlineStr">
        <is>
          <t>Comparación v3 → v4 → v5 (métricas de diseño verificadas), resultados de la ronda 1 contra umbrales y cambios v5 → v6 después del test.</t>
        </is>
      </c>
    </row>
    <row r="16">
      <c r="A16" s="5" t="inlineStr">
        <is>
          <t>12_SUPUESTOS</t>
        </is>
      </c>
      <c r="B16" s="6" t="inlineStr">
        <is>
          <t>Hipótesis H1 a H6 (las mismas del informe, con su KPI y su meta), supuestos, trade-offs y próximos experimentos.</t>
        </is>
      </c>
    </row>
    <row r="17">
      <c r="A17" s="5" t="inlineStr">
        <is>
          <t>13_GLOSARIO</t>
        </is>
      </c>
      <c r="B17" s="6" t="inlineStr">
        <is>
          <t>Glosario mínimo de métricas y definiciones.</t>
        </is>
      </c>
    </row>
    <row r="18">
      <c r="A18" s="5" t="inlineStr">
        <is>
          <t>14_VERSIONES</t>
        </is>
      </c>
      <c r="B18" s="6" t="inlineStr">
        <is>
          <t>Versiones y nombres de archivos.</t>
        </is>
      </c>
    </row>
    <row r="19">
      <c r="A19" s="5" t="inlineStr">
        <is>
          <t>15_LEAD_MAGNETS</t>
        </is>
      </c>
      <c r="B19" s="6" t="inlineStr">
        <is>
          <t>Lead magnets LM1–LM7: pantalla, qué recibe el cliente, qué obtiene Marley Coffee, señal, agente, indicador y adaptación por tipo de negocio.</t>
        </is>
      </c>
    </row>
    <row r="20">
      <c r="A20" s="5" t="inlineStr">
        <is>
          <t>16_ECONOMIA_UNITARIA</t>
        </is>
      </c>
      <c r="B20" s="6" t="inlineStr">
        <is>
          <t>Churn, vida esperada, LTV y CAC relativos, NRR necesario y recupero de CAC con las metas del caso; lo que falta queda «por levantar».</t>
        </is>
      </c>
    </row>
    <row r="21">
      <c r="A21" s="5" t="inlineStr">
        <is>
          <t>17_INTEGRACION</t>
        </is>
      </c>
      <c r="B21" s="6" t="inlineStr">
        <is>
          <t>Sistemas de Marley Coffee y forma de conexión, contrato de llamadas de la capa de integración (agente → API → sistema) y capa agéntica por área de la cadena de valor.</t>
        </is>
      </c>
    </row>
    <row r="22">
      <c r="A22" s="5" t="inlineStr">
        <is>
          <t>18_BLUEPRINT_INBOUND</t>
        </is>
      </c>
      <c r="B22" s="6" t="inlineStr">
        <is>
          <t>Blueprint de inbound sobre el flywheel (atraer, interactuar, deleitar): etapa, segmento, pieza, lead magnet, canal, gatillador, agente, KPI y puntaje acumulado; contenido segmentado por negocio.</t>
        </is>
      </c>
    </row>
    <row r="23">
      <c r="A23" s="5" t="inlineStr">
        <is>
          <t>19_PRECIOS_SUPUESTOS</t>
        </is>
      </c>
      <c r="B23" s="6" t="inlineStr">
        <is>
          <t>Máquinas oficiales por tipo de solución, café, pods y servicios con rangos SUPUESTOS (académicos, a validar con Marley Coffee), referencia pública real y calculadora de costo mensual.</t>
        </is>
      </c>
    </row>
    <row r="24">
      <c r="A24" s="5" t="inlineStr">
        <is>
          <t>20_CRM_ROLES</t>
        </is>
      </c>
      <c r="B24" s="6" t="inlineStr">
        <is>
          <t>CRM por rol: Ventas, Marketing y Jefatura; menú, pregunta que decide, qué ve y qué no ve.</t>
        </is>
      </c>
    </row>
    <row r="25">
      <c r="A25" s="5" t="inlineStr">
        <is>
          <t>21_SEO_AEO</t>
        </is>
      </c>
      <c r="B25" s="6" t="inlineStr">
        <is>
          <t>Título, descripción, H1 y datos estructurados por pantalla; intenciones de búsqueda no-marca y su página destino; FAQ con respuesta primero.</t>
        </is>
      </c>
    </row>
    <row r="26">
      <c r="A26" s="5" t="inlineStr">
        <is>
          <t>22_CAMBIOS_TEST</t>
        </is>
      </c>
      <c r="B26" s="6" t="inlineStr">
        <is>
          <t>Lo que se cambió después del test con usuarios: problema observado, evidencia (código del participante y métrica), cambio en v6, cómo se mide en la ronda 2 y meta.</t>
        </is>
      </c>
    </row>
    <row r="27">
      <c r="A27" s="5" t="inlineStr">
        <is>
          <t>23_CONVERSACION_POSTVENTA</t>
        </is>
      </c>
      <c r="B27" s="6" t="inlineStr">
        <is>
          <t>Atención en chat y WhatsApp de principio a fin: intenciones, datos mínimos, estados, traspaso humano, integración propuesta, permisos, fallos y criterios de aceptación.</t>
        </is>
      </c>
    </row>
    <row r="28">
      <c r="A28" s="5" t="inlineStr">
        <is>
          <t>24_CONEXIONES</t>
        </is>
      </c>
      <c r="B28" s="6" t="inlineStr">
        <is>
          <t>Viabilidad por conexión: evidencia histórica o pública actual, recurso primario, capacidad, acceso pendiente, prueba de aceptación y dependencia. La demostración local se distingue de la integración productiva.</t>
        </is>
      </c>
    </row>
    <row r="29">
      <c r="A29" s="7" t="inlineStr">
        <is>
          <t>Convención</t>
        </is>
      </c>
      <c r="B29" s="8" t="inlineStr">
        <is>
          <t>Celdas amarillas = datos que se ingresan. Celdas grises = fórmulas. Participantes del test con código (P1 a P5), sin nombres. Datos de clientes, montos y nombres de ejecutivas: ficticios de demostración.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L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40" customWidth="1" min="3" max="3"/>
    <col width="9" customWidth="1" min="4" max="4"/>
    <col width="44" customWidth="1" min="5" max="5"/>
    <col width="15" customWidth="1" min="6" max="6"/>
    <col width="15" customWidth="1" min="7" max="7"/>
    <col width="15" customWidth="1" min="8" max="8"/>
    <col width="8" customWidth="1" min="10" max="10"/>
    <col width="18" customWidth="1" min="11" max="11"/>
    <col width="36" customWidth="1" min="12" max="12"/>
  </cols>
  <sheetData>
    <row r="1" ht="28" customHeight="1">
      <c r="A1" s="1" t="inlineStr">
        <is>
          <t>Engagement Score v1.1 · prospectos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13 eventos y pesos de la tabla M2 (informe MVP corregido, fuente [3]) + evento 14 «comuna» (ajuste 10-10). Cada evento suma una vez; tope 100.</t>
        </is>
      </c>
    </row>
    <row r="3"/>
    <row r="4" ht="30" customHeight="1">
      <c r="A4" s="4" t="inlineStr">
        <is>
          <t>N°</t>
        </is>
      </c>
      <c r="B4" s="4" t="inlineStr">
        <is>
          <t>Clave</t>
        </is>
      </c>
      <c r="C4" s="4" t="inlineStr">
        <is>
          <t>Evento</t>
        </is>
      </c>
      <c r="D4" s="4" t="inlineStr">
        <is>
          <t>Puntos</t>
        </is>
      </c>
      <c r="E4" s="4" t="inlineStr">
        <is>
          <t>Regla / control</t>
        </is>
      </c>
      <c r="F4" s="4" t="inlineStr">
        <is>
          <t>Caso A (1 = ocurrió)</t>
        </is>
      </c>
      <c r="G4" s="4" t="inlineStr">
        <is>
          <t>Caso B (1 = ocurrió)</t>
        </is>
      </c>
      <c r="H4" s="4" t="inlineStr">
        <is>
          <t>Caso C (1 = ocurrió)</t>
        </is>
      </c>
      <c r="J4" s="9" t="inlineStr">
        <is>
          <t>Desde</t>
        </is>
      </c>
      <c r="K4" s="9" t="inlineStr">
        <is>
          <t>Banda</t>
        </is>
      </c>
      <c r="L4" s="9" t="inlineStr">
        <is>
          <t>Acción típica</t>
        </is>
      </c>
    </row>
    <row r="5">
      <c r="A5" s="5" t="n">
        <v>1</v>
      </c>
      <c r="B5" s="10" t="inlineStr">
        <is>
          <t>cotizar</t>
        </is>
      </c>
      <c r="C5" s="10" t="inlineStr">
        <is>
          <t>Pulsa «Encontrar mi solución»</t>
        </is>
      </c>
      <c r="D5" s="11" t="n">
        <v>10</v>
      </c>
      <c r="E5" s="10" t="inlineStr">
        <is>
          <t>Una vez por contacto.</t>
        </is>
      </c>
      <c r="F5" s="11" t="n">
        <v>1</v>
      </c>
      <c r="G5" s="11" t="n">
        <v>1</v>
      </c>
      <c r="H5" s="12" t="n">
        <v>1</v>
      </c>
      <c r="J5" s="13" t="n">
        <v>0</v>
      </c>
      <c r="K5" s="13" t="inlineStr">
        <is>
          <t>Exploración</t>
        </is>
      </c>
      <c r="L5" s="13" t="inlineStr">
        <is>
          <t>Contenido y nutrición suave</t>
        </is>
      </c>
    </row>
    <row r="6">
      <c r="A6" s="5" t="n">
        <v>2</v>
      </c>
      <c r="B6" s="10" t="inlineStr">
        <is>
          <t>form1</t>
        </is>
      </c>
      <c r="C6" s="10" t="inlineStr">
        <is>
          <t>Deja su correo con permiso (formulario 1)</t>
        </is>
      </c>
      <c r="D6" s="11" t="n">
        <v>20</v>
      </c>
      <c r="E6" s="10" t="inlineStr">
        <is>
          <t>Solo con correo válido y permiso.</t>
        </is>
      </c>
      <c r="F6" s="11" t="n">
        <v>1</v>
      </c>
      <c r="G6" s="11" t="n">
        <v>1</v>
      </c>
      <c r="H6" s="12" t="n">
        <v>1</v>
      </c>
      <c r="J6" s="13" t="n">
        <v>20</v>
      </c>
      <c r="K6" s="13" t="inlineStr">
        <is>
          <t>Identificado</t>
        </is>
      </c>
      <c r="L6" s="13" t="inlineStr">
        <is>
          <t>Continuidad automática</t>
        </is>
      </c>
    </row>
    <row r="7">
      <c r="A7" s="5" t="n">
        <v>3</v>
      </c>
      <c r="B7" s="10" t="inlineStr">
        <is>
          <t>portal</t>
        </is>
      </c>
      <c r="C7" s="10" t="inlineStr">
        <is>
          <t>Entra a su portal</t>
        </is>
      </c>
      <c r="D7" s="11" t="n">
        <v>8</v>
      </c>
      <c r="E7" s="10" t="inlineStr">
        <is>
          <t>Primera entrada al portal.</t>
        </is>
      </c>
      <c r="F7" s="11" t="n">
        <v>1</v>
      </c>
      <c r="G7" s="11" t="n">
        <v>1</v>
      </c>
      <c r="H7" s="12" t="n">
        <v>1</v>
      </c>
      <c r="J7" s="13" t="n">
        <v>40</v>
      </c>
      <c r="K7" s="13" t="inlineStr">
        <is>
          <t>Calificado</t>
        </is>
      </c>
      <c r="L7" s="13" t="inlineStr">
        <is>
          <t>Recomendación y seguimiento</t>
        </is>
      </c>
    </row>
    <row r="8">
      <c r="A8" s="5" t="n">
        <v>4</v>
      </c>
      <c r="B8" s="10" t="inlineStr">
        <is>
          <t>diag_inicio</t>
        </is>
      </c>
      <c r="C8" s="10" t="inlineStr">
        <is>
          <t>Inicia el diagnóstico</t>
        </is>
      </c>
      <c r="D8" s="11" t="n">
        <v>5</v>
      </c>
      <c r="E8" s="10" t="inlineStr">
        <is>
          <t>Primera respuesta.</t>
        </is>
      </c>
      <c r="F8" s="11" t="n">
        <v>1</v>
      </c>
      <c r="G8" s="11" t="n">
        <v>1</v>
      </c>
      <c r="H8" s="12" t="n">
        <v>1</v>
      </c>
      <c r="J8" s="13" t="n">
        <v>60</v>
      </c>
      <c r="K8" s="13" t="inlineStr">
        <is>
          <t>Alta intención</t>
        </is>
      </c>
      <c r="L8" s="13" t="inlineStr">
        <is>
          <t>Prioridad comercial</t>
        </is>
      </c>
    </row>
    <row r="9">
      <c r="A9" s="5" t="n">
        <v>5</v>
      </c>
      <c r="B9" s="10" t="inlineStr">
        <is>
          <t>negocio</t>
        </is>
      </c>
      <c r="C9" s="10" t="inlineStr">
        <is>
          <t>Tipo de negocio</t>
        </is>
      </c>
      <c r="D9" s="11" t="n">
        <v>4</v>
      </c>
      <c r="E9" s="10" t="inlineStr">
        <is>
          <t>Define fit HORECA.</t>
        </is>
      </c>
      <c r="F9" s="11" t="n">
        <v>1</v>
      </c>
      <c r="G9" s="11" t="n">
        <v>1</v>
      </c>
      <c r="H9" s="12" t="n">
        <v>1</v>
      </c>
      <c r="J9" s="13" t="n">
        <v>80</v>
      </c>
      <c r="K9" s="13" t="inlineStr">
        <is>
          <t>Prioridad máxima</t>
        </is>
      </c>
      <c r="L9" s="13" t="inlineStr">
        <is>
          <t>Persona del equipo ahora</t>
        </is>
      </c>
    </row>
    <row r="10">
      <c r="A10" s="5" t="n">
        <v>6</v>
      </c>
      <c r="B10" s="10" t="inlineStr">
        <is>
          <t>volumen</t>
        </is>
      </c>
      <c r="C10" s="10" t="inlineStr">
        <is>
          <t>Volumen de tazas</t>
        </is>
      </c>
      <c r="D10" s="11" t="n">
        <v>5</v>
      </c>
      <c r="E10" s="10" t="inlineStr">
        <is>
          <t>«No lo sé» cuenta.</t>
        </is>
      </c>
      <c r="F10" s="11" t="n">
        <v>1</v>
      </c>
      <c r="G10" s="11" t="n">
        <v>1</v>
      </c>
      <c r="H10" s="12" t="n">
        <v>1</v>
      </c>
    </row>
    <row r="11">
      <c r="A11" s="5" t="n">
        <v>7</v>
      </c>
      <c r="B11" s="10" t="inlineStr">
        <is>
          <t>operacion</t>
        </is>
      </c>
      <c r="C11" s="10" t="inlineStr">
        <is>
          <t>Forma de servicio</t>
        </is>
      </c>
      <c r="D11" s="11" t="n">
        <v>4</v>
      </c>
      <c r="E11" s="10" t="inlineStr">
        <is>
          <t>Define formato.</t>
        </is>
      </c>
      <c r="F11" s="11" t="n">
        <v>1</v>
      </c>
      <c r="G11" s="11" t="n">
        <v>1</v>
      </c>
      <c r="H11" s="12" t="n">
        <v>1</v>
      </c>
    </row>
    <row r="12">
      <c r="A12" s="5" t="n">
        <v>8</v>
      </c>
      <c r="B12" s="10" t="inlineStr">
        <is>
          <t>preferencias</t>
        </is>
      </c>
      <c r="C12" s="10" t="inlineStr">
        <is>
          <t>Qué quiere ofrecer</t>
        </is>
      </c>
      <c r="D12" s="11" t="n">
        <v>4</v>
      </c>
      <c r="E12" s="10" t="inlineStr">
        <is>
          <t>Una vez aunque elija varias.</t>
        </is>
      </c>
      <c r="F12" s="11" t="n">
        <v>1</v>
      </c>
      <c r="G12" s="11" t="n">
        <v>1</v>
      </c>
      <c r="H12" s="12" t="n">
        <v>1</v>
      </c>
    </row>
    <row r="13">
      <c r="A13" s="5" t="n">
        <v>9</v>
      </c>
      <c r="B13" s="10" t="inlineStr">
        <is>
          <t>canal</t>
        </is>
      </c>
      <c r="C13" s="10" t="inlineStr">
        <is>
          <t>Elige canal de contacto</t>
        </is>
      </c>
      <c r="D13" s="11" t="n">
        <v>3</v>
      </c>
      <c r="E13" s="10" t="inlineStr">
        <is>
          <t>Chat, llamada o correo.</t>
        </is>
      </c>
      <c r="F13" s="11" t="n">
        <v>1</v>
      </c>
      <c r="G13" s="11" t="n">
        <v>1</v>
      </c>
      <c r="H13" s="12" t="n">
        <v>1</v>
      </c>
    </row>
    <row r="14">
      <c r="A14" s="5" t="n">
        <v>10</v>
      </c>
      <c r="B14" s="10" t="inlineStr">
        <is>
          <t>recomendacion</t>
        </is>
      </c>
      <c r="C14" s="10" t="inlineStr">
        <is>
          <t>Revisa su recomendación</t>
        </is>
      </c>
      <c r="D14" s="11" t="n">
        <v>8</v>
      </c>
      <c r="E14" s="10" t="inlineStr">
        <is>
          <t>Portal con diagnóstico completo.</t>
        </is>
      </c>
      <c r="F14" s="11" t="n">
        <v>1</v>
      </c>
      <c r="G14" s="11" t="n">
        <v>1</v>
      </c>
      <c r="H14" s="12" t="n">
        <v>1</v>
      </c>
    </row>
    <row r="15">
      <c r="A15" s="5" t="n">
        <v>11</v>
      </c>
      <c r="B15" s="10" t="inlineStr">
        <is>
          <t>propuesta</t>
        </is>
      </c>
      <c r="C15" s="10" t="inlineStr">
        <is>
          <t>Acepta la propuesta</t>
        </is>
      </c>
      <c r="D15" s="11" t="n">
        <v>15</v>
      </c>
      <c r="E15" s="10" t="inlineStr">
        <is>
          <t>Señal comercial para SQL.</t>
        </is>
      </c>
      <c r="F15" s="11" t="n">
        <v>0</v>
      </c>
      <c r="G15" s="11" t="n">
        <v>0</v>
      </c>
      <c r="H15" s="12" t="n">
        <v>0</v>
      </c>
    </row>
    <row r="16">
      <c r="A16" s="5" t="n">
        <v>12</v>
      </c>
      <c r="B16" s="10" t="inlineStr">
        <is>
          <t>ejecutivo</t>
        </is>
      </c>
      <c r="C16" s="10" t="inlineStr">
        <is>
          <t>Pide hablar con una persona</t>
        </is>
      </c>
      <c r="D16" s="11" t="n">
        <v>12</v>
      </c>
      <c r="E16" s="10" t="inlineStr">
        <is>
          <t>Al elegir cualquier canal humano.</t>
        </is>
      </c>
      <c r="F16" s="11" t="n">
        <v>1</v>
      </c>
      <c r="G16" s="11" t="n">
        <v>1</v>
      </c>
      <c r="H16" s="12" t="n">
        <v>1</v>
      </c>
    </row>
    <row r="17">
      <c r="A17" s="5" t="n">
        <v>13</v>
      </c>
      <c r="B17" s="10" t="inlineStr">
        <is>
          <t>expansion</t>
        </is>
      </c>
      <c r="C17" s="10" t="inlineStr">
        <is>
          <t>Elige la propuesta ampliada</t>
        </is>
      </c>
      <c r="D17" s="11" t="n">
        <v>12</v>
      </c>
      <c r="E17" s="10" t="inlineStr">
        <is>
          <t>Elige ampliada.</t>
        </is>
      </c>
      <c r="F17" s="11" t="n">
        <v>0</v>
      </c>
      <c r="G17" s="11" t="n">
        <v>0</v>
      </c>
      <c r="H17" s="12" t="n">
        <v>0</v>
      </c>
    </row>
    <row r="18">
      <c r="A18" s="7" t="n">
        <v>14</v>
      </c>
      <c r="B18" s="14" t="inlineStr">
        <is>
          <t>comuna</t>
        </is>
      </c>
      <c r="C18" s="14" t="inlineStr">
        <is>
          <t>Comuna del local (evento 14)</t>
        </is>
      </c>
      <c r="D18" s="14" t="inlineStr">
        <is>
          <t>según zona</t>
        </is>
      </c>
      <c r="E18" s="14" t="inlineStr">
        <is>
          <t>Puntos desde 02_ZONAS.</t>
        </is>
      </c>
      <c r="F18" s="15" t="inlineStr">
        <is>
          <t>Las Condes</t>
        </is>
      </c>
      <c r="G18" s="15" t="inlineStr">
        <is>
          <t>Santiago Centro</t>
        </is>
      </c>
      <c r="H18" s="16" t="inlineStr">
        <is>
          <t>Maipú</t>
        </is>
      </c>
    </row>
    <row r="19"/>
    <row r="20">
      <c r="A20" s="17" t="n"/>
      <c r="B20" s="17" t="n"/>
      <c r="C20" s="17" t="inlineStr">
        <is>
          <t>Suma eventos M2</t>
        </is>
      </c>
      <c r="D20" s="17" t="n"/>
      <c r="E20" s="17" t="n"/>
      <c r="F20" s="18">
        <f>SUMPRODUCT($D$5:$D$17,F5:F17)</f>
        <v/>
      </c>
      <c r="G20" s="18">
        <f>SUMPRODUCT($D$5:$D$17,G5:G17)</f>
        <v/>
      </c>
      <c r="H20" s="18">
        <f>SUMPRODUCT($D$5:$D$17,H5:H17)</f>
        <v/>
      </c>
    </row>
    <row r="21">
      <c r="A21" s="17" t="n"/>
      <c r="B21" s="17" t="n"/>
      <c r="C21" s="17" t="inlineStr">
        <is>
          <t>Puntos por comuna</t>
        </is>
      </c>
      <c r="D21" s="17" t="n"/>
      <c r="E21" s="17" t="n"/>
      <c r="F21" s="18">
        <f>VLOOKUP(F18,'02_ZONAS'!$A$5:$D$31,4,FALSE)</f>
        <v/>
      </c>
      <c r="G21" s="18">
        <f>VLOOKUP(G18,'02_ZONAS'!$A$5:$D$31,4,FALSE)</f>
        <v/>
      </c>
      <c r="H21" s="18">
        <f>VLOOKUP(H18,'02_ZONAS'!$A$5:$D$31,4,FALSE)</f>
        <v/>
      </c>
    </row>
    <row r="22">
      <c r="A22" s="17" t="n"/>
      <c r="B22" s="17" t="n"/>
      <c r="C22" s="17" t="inlineStr">
        <is>
          <t>Puntaje (tope 100)</t>
        </is>
      </c>
      <c r="D22" s="17" t="n"/>
      <c r="E22" s="17" t="n"/>
      <c r="F22" s="18">
        <f>MIN(100,F20+F21)</f>
        <v/>
      </c>
      <c r="G22" s="18">
        <f>MIN(100,G20+G21)</f>
        <v/>
      </c>
      <c r="H22" s="18">
        <f>MIN(100,H20+H21)</f>
        <v/>
      </c>
    </row>
    <row r="23">
      <c r="A23" s="17" t="n"/>
      <c r="B23" s="17" t="n"/>
      <c r="C23" s="17" t="inlineStr">
        <is>
          <t>Banda</t>
        </is>
      </c>
      <c r="D23" s="17" t="n"/>
      <c r="E23" s="17" t="n"/>
      <c r="F23" s="18">
        <f>VLOOKUP(F22,$J$5:$K$9,2,TRUE)</f>
        <v/>
      </c>
      <c r="G23" s="18">
        <f>VLOOKUP(G22,$J$5:$K$9,2,TRUE)</f>
        <v/>
      </c>
      <c r="H23" s="18">
        <f>VLOOKUP(H22,$J$5:$K$9,2,TRUE)</f>
        <v/>
      </c>
    </row>
    <row r="24">
      <c r="A24" s="17" t="n"/>
      <c r="B24" s="17" t="n"/>
      <c r="C24" s="17" t="inlineStr">
        <is>
          <t>Negocio HORECA (Sí/No)</t>
        </is>
      </c>
      <c r="D24" s="17" t="n"/>
      <c r="E24" s="17" t="n"/>
      <c r="F24" s="19" t="inlineStr">
        <is>
          <t>Sí</t>
        </is>
      </c>
      <c r="G24" s="19" t="inlineStr">
        <is>
          <t>Sí</t>
        </is>
      </c>
      <c r="H24" s="19" t="inlineStr">
        <is>
          <t>Sí</t>
        </is>
      </c>
    </row>
    <row r="25">
      <c r="A25" s="17" t="n"/>
      <c r="B25" s="17" t="n"/>
      <c r="C25" s="17" t="inlineStr">
        <is>
          <t>¿MQL? (permiso + HORECA + ≥ 40)</t>
        </is>
      </c>
      <c r="D25" s="17" t="n"/>
      <c r="E25" s="17" t="n"/>
      <c r="F25" s="18">
        <f>IF(AND(F6=1,F24="Sí",F22&gt;=40),"Sí","No")</f>
        <v/>
      </c>
      <c r="G25" s="18">
        <f>IF(AND(G6=1,G24="Sí",G22&gt;=40),"Sí","No")</f>
        <v/>
      </c>
      <c r="H25" s="18">
        <f>IF(AND(H6=1,H24="Sí",H22&gt;=40),"Sí","No")</f>
        <v/>
      </c>
    </row>
    <row r="26">
      <c r="A26" s="17" t="n"/>
      <c r="B26" s="17" t="n"/>
      <c r="C26" s="17" t="inlineStr">
        <is>
          <t>¿Candidato a SQL? (MQL + pidió persona o propuesta)</t>
        </is>
      </c>
      <c r="D26" s="17" t="n"/>
      <c r="E26" s="17" t="n"/>
      <c r="F26" s="18">
        <f>IF(AND(F25="Sí",OR(F16=1,F15=1)),"Sí, lo acepta una persona","No")</f>
        <v/>
      </c>
      <c r="G26" s="18">
        <f>IF(AND(G25="Sí",OR(G16=1,G15=1)),"Sí, lo acepta una persona","No")</f>
        <v/>
      </c>
      <c r="H26" s="18">
        <f>IF(AND(H25="Sí",OR(H16=1,H15=1)),"Sí, lo acepta una persona","No")</f>
        <v/>
      </c>
    </row>
    <row r="27"/>
    <row r="28">
      <c r="C28" s="20" t="inlineStr">
        <is>
          <t>Lectura: con el mismo recorrido, el puntaje cambia solo por la comuna (A +10, B +6, C +3). Verificado en el prototipo el 10-10: 93, 89 y 86.</t>
        </is>
      </c>
    </row>
  </sheetData>
  <mergeCells count="1">
    <mergeCell ref="A2:H2"/>
  </mergeCells>
  <dataValidations count="1">
    <dataValidation sqref="F18 G18 H18" showDropDown="0" showInputMessage="0" showErrorMessage="0" allowBlank="0" type="list">
      <formula1>='02_ZONAS'!$A$5:$A$31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M3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2" customWidth="1" min="4" max="4"/>
    <col width="14" customWidth="1" min="5" max="5"/>
    <col width="30" customWidth="1" min="6" max="6"/>
    <col width="34" customWidth="1" min="7" max="7"/>
    <col width="11" customWidth="1" min="10" max="10"/>
    <col width="9" customWidth="1" min="11" max="11"/>
    <col width="11" customWidth="1" min="12" max="12"/>
    <col width="70" customWidth="1" min="13" max="13"/>
  </cols>
  <sheetData>
    <row r="1" ht="28" customHeight="1">
      <c r="A1" s="1" t="inlineStr">
        <is>
          <t>Prioridad geográfica por comuna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Hipótesis del equipo a calibrar con ventas reales por comuna. Ejecutivas con nombres ficticios. Rutas de demostración.</t>
        </is>
      </c>
    </row>
    <row r="3"/>
    <row r="4" ht="30" customHeight="1">
      <c r="A4" s="4" t="inlineStr">
        <is>
          <t>Comuna</t>
        </is>
      </c>
      <c r="B4" s="4" t="inlineStr">
        <is>
          <t>Zona</t>
        </is>
      </c>
      <c r="C4" s="4" t="inlineStr">
        <is>
          <t>Prioridad</t>
        </is>
      </c>
      <c r="D4" s="4" t="inlineStr">
        <is>
          <t>Puntos Engagement</t>
        </is>
      </c>
      <c r="E4" s="4" t="inlineStr">
        <is>
          <t>Potencial Financial (0–100)</t>
        </is>
      </c>
      <c r="F4" s="4" t="inlineStr">
        <is>
          <t>Ejecutiva de zona (ficticia)</t>
        </is>
      </c>
      <c r="G4" s="4" t="inlineStr">
        <is>
          <t>Ruta (demo)</t>
        </is>
      </c>
      <c r="J4" s="9" t="inlineStr">
        <is>
          <t>Prioridad</t>
        </is>
      </c>
      <c r="K4" s="9" t="inlineStr">
        <is>
          <t>Puntos</t>
        </is>
      </c>
      <c r="L4" s="9" t="inlineStr">
        <is>
          <t>Potencial</t>
        </is>
      </c>
      <c r="M4" s="9" t="inlineStr">
        <is>
          <t>Hipótesis</t>
        </is>
      </c>
    </row>
    <row r="5">
      <c r="A5" s="5" t="inlineStr">
        <is>
          <t>Quilicura</t>
        </is>
      </c>
      <c r="B5" s="10" t="inlineStr">
        <is>
          <t>Zona Norte y Poniente</t>
        </is>
      </c>
      <c r="C5" s="11" t="inlineStr">
        <is>
          <t>C</t>
        </is>
      </c>
      <c r="D5" s="21">
        <f>VLOOKUP(C5,$J$5:$L$8,2,FALSE)</f>
        <v/>
      </c>
      <c r="E5" s="21">
        <f>VLOOKUP(C5,$J$5:$L$8,3,FALSE)</f>
        <v/>
      </c>
      <c r="F5" s="10" t="inlineStr">
        <is>
          <t>Camila Soto · Ejecutiva Zona Norte y Poniente</t>
        </is>
      </c>
      <c r="G5" s="6" t="inlineStr">
        <is>
          <t>Ruta Norte · martes y viernes</t>
        </is>
      </c>
      <c r="J5" s="10" t="inlineStr">
        <is>
          <t>A</t>
        </is>
      </c>
      <c r="K5" s="11" t="n">
        <v>10</v>
      </c>
      <c r="L5" s="11" t="n">
        <v>100</v>
      </c>
      <c r="M5" s="10" t="inlineStr">
        <is>
          <t>Alta densidad de hoteles y restaurantes de ticket alto; ruta de reparto existente.</t>
        </is>
      </c>
    </row>
    <row r="6">
      <c r="A6" s="5" t="inlineStr">
        <is>
          <t>Huechuraba</t>
        </is>
      </c>
      <c r="B6" s="10" t="inlineStr">
        <is>
          <t>Zona Norte y Poniente</t>
        </is>
      </c>
      <c r="C6" s="11" t="inlineStr">
        <is>
          <t>B</t>
        </is>
      </c>
      <c r="D6" s="21">
        <f>VLOOKUP(C6,$J$5:$L$8,2,FALSE)</f>
        <v/>
      </c>
      <c r="E6" s="21">
        <f>VLOOKUP(C6,$J$5:$L$8,3,FALSE)</f>
        <v/>
      </c>
      <c r="F6" s="10" t="inlineStr">
        <is>
          <t>Camila Soto · Ejecutiva Zona Norte y Poniente</t>
        </is>
      </c>
      <c r="G6" s="6" t="inlineStr">
        <is>
          <t>Ruta Norte · martes y viernes</t>
        </is>
      </c>
      <c r="J6" s="10" t="inlineStr">
        <is>
          <t>B</t>
        </is>
      </c>
      <c r="K6" s="11" t="n">
        <v>6</v>
      </c>
      <c r="L6" s="11" t="n">
        <v>70</v>
      </c>
      <c r="M6" s="10" t="inlineStr">
        <is>
          <t>Alto volumen (hoteles de negocio, restaurantes, aeropuerto) con ticket medio.</t>
        </is>
      </c>
    </row>
    <row r="7">
      <c r="A7" s="5" t="inlineStr">
        <is>
          <t>Vitacura</t>
        </is>
      </c>
      <c r="B7" s="10" t="inlineStr">
        <is>
          <t>Zona Oriente</t>
        </is>
      </c>
      <c r="C7" s="11" t="inlineStr">
        <is>
          <t>A</t>
        </is>
      </c>
      <c r="D7" s="21">
        <f>VLOOKUP(C7,$J$5:$L$8,2,FALSE)</f>
        <v/>
      </c>
      <c r="E7" s="21">
        <f>VLOOKUP(C7,$J$5:$L$8,3,FALSE)</f>
        <v/>
      </c>
      <c r="F7" s="10" t="inlineStr">
        <is>
          <t>Paula Díaz · Ejecutiva Zona Oriente</t>
        </is>
      </c>
      <c r="G7" s="6" t="inlineStr">
        <is>
          <t>Ruta Oriente · martes y jueves</t>
        </is>
      </c>
      <c r="J7" s="10" t="inlineStr">
        <is>
          <t>C</t>
        </is>
      </c>
      <c r="K7" s="11" t="n">
        <v>3</v>
      </c>
      <c r="L7" s="11" t="n">
        <v>40</v>
      </c>
      <c r="M7" s="10" t="inlineStr">
        <is>
          <t>Cobertura con menor frecuencia de ruta.</t>
        </is>
      </c>
    </row>
    <row r="8">
      <c r="A8" s="5" t="inlineStr">
        <is>
          <t>Lo Barnechea</t>
        </is>
      </c>
      <c r="B8" s="10" t="inlineStr">
        <is>
          <t>Zona Oriente</t>
        </is>
      </c>
      <c r="C8" s="11" t="inlineStr">
        <is>
          <t>A</t>
        </is>
      </c>
      <c r="D8" s="21">
        <f>VLOOKUP(C8,$J$5:$L$8,2,FALSE)</f>
        <v/>
      </c>
      <c r="E8" s="21">
        <f>VLOOKUP(C8,$J$5:$L$8,3,FALSE)</f>
        <v/>
      </c>
      <c r="F8" s="10" t="inlineStr">
        <is>
          <t>Paula Díaz · Ejecutiva Zona Oriente</t>
        </is>
      </c>
      <c r="G8" s="6" t="inlineStr">
        <is>
          <t>Ruta Oriente · martes y jueves</t>
        </is>
      </c>
      <c r="J8" s="10" t="inlineStr">
        <is>
          <t>R</t>
        </is>
      </c>
      <c r="K8" s="11" t="n">
        <v>2</v>
      </c>
      <c r="L8" s="11" t="n">
        <v>30</v>
      </c>
      <c r="M8" s="10" t="inlineStr">
        <is>
          <t>Cobertura por confirmar (distribuidor o despacho).</t>
        </is>
      </c>
    </row>
    <row r="9">
      <c r="A9" s="5" t="inlineStr">
        <is>
          <t>Pudahuel</t>
        </is>
      </c>
      <c r="B9" s="10" t="inlineStr">
        <is>
          <t>Zona Norte y Poniente</t>
        </is>
      </c>
      <c r="C9" s="11" t="inlineStr">
        <is>
          <t>B</t>
        </is>
      </c>
      <c r="D9" s="21">
        <f>VLOOKUP(C9,$J$5:$L$8,2,FALSE)</f>
        <v/>
      </c>
      <c r="E9" s="21">
        <f>VLOOKUP(C9,$J$5:$L$8,3,FALSE)</f>
        <v/>
      </c>
      <c r="F9" s="10" t="inlineStr">
        <is>
          <t>Camila Soto · Ejecutiva Zona Norte y Poniente</t>
        </is>
      </c>
      <c r="G9" s="6" t="inlineStr">
        <is>
          <t>Ruta Norte · martes y viernes</t>
        </is>
      </c>
    </row>
    <row r="10">
      <c r="A10" s="5" t="inlineStr">
        <is>
          <t>Renca</t>
        </is>
      </c>
      <c r="B10" s="10" t="inlineStr">
        <is>
          <t>Zona Norte y Poniente</t>
        </is>
      </c>
      <c r="C10" s="11" t="inlineStr">
        <is>
          <t>C</t>
        </is>
      </c>
      <c r="D10" s="21">
        <f>VLOOKUP(C10,$J$5:$L$8,2,FALSE)</f>
        <v/>
      </c>
      <c r="E10" s="21">
        <f>VLOOKUP(C10,$J$5:$L$8,3,FALSE)</f>
        <v/>
      </c>
      <c r="F10" s="10" t="inlineStr">
        <is>
          <t>Camila Soto · Ejecutiva Zona Norte y Poniente</t>
        </is>
      </c>
      <c r="G10" s="6" t="inlineStr">
        <is>
          <t>Ruta Norte · martes y viernes</t>
        </is>
      </c>
    </row>
    <row r="11">
      <c r="A11" s="5" t="inlineStr">
        <is>
          <t>Independencia</t>
        </is>
      </c>
      <c r="B11" s="10" t="inlineStr">
        <is>
          <t>Zona Centro</t>
        </is>
      </c>
      <c r="C11" s="11" t="inlineStr">
        <is>
          <t>C</t>
        </is>
      </c>
      <c r="D11" s="21">
        <f>VLOOKUP(C11,$J$5:$L$8,2,FALSE)</f>
        <v/>
      </c>
      <c r="E11" s="21">
        <f>VLOOKUP(C11,$J$5:$L$8,3,FALSE)</f>
        <v/>
      </c>
      <c r="F11" s="10" t="inlineStr">
        <is>
          <t>Andrés Rojas · Ejecutivo Zona Centro</t>
        </is>
      </c>
      <c r="G11" s="6" t="inlineStr">
        <is>
          <t>Ruta Centro · lunes, miércoles y viernes</t>
        </is>
      </c>
    </row>
    <row r="12">
      <c r="A12" s="5" t="inlineStr">
        <is>
          <t>Recoleta</t>
        </is>
      </c>
      <c r="B12" s="10" t="inlineStr">
        <is>
          <t>Zona Centro</t>
        </is>
      </c>
      <c r="C12" s="11" t="inlineStr">
        <is>
          <t>C</t>
        </is>
      </c>
      <c r="D12" s="21">
        <f>VLOOKUP(C12,$J$5:$L$8,2,FALSE)</f>
        <v/>
      </c>
      <c r="E12" s="21">
        <f>VLOOKUP(C12,$J$5:$L$8,3,FALSE)</f>
        <v/>
      </c>
      <c r="F12" s="10" t="inlineStr">
        <is>
          <t>Andrés Rojas · Ejecutivo Zona Centro</t>
        </is>
      </c>
      <c r="G12" s="6" t="inlineStr">
        <is>
          <t>Ruta Centro · lunes, miércoles y viernes</t>
        </is>
      </c>
    </row>
    <row r="13">
      <c r="A13" s="5" t="inlineStr">
        <is>
          <t>Providencia</t>
        </is>
      </c>
      <c r="B13" s="10" t="inlineStr">
        <is>
          <t>Zona Oriente</t>
        </is>
      </c>
      <c r="C13" s="11" t="inlineStr">
        <is>
          <t>A</t>
        </is>
      </c>
      <c r="D13" s="21">
        <f>VLOOKUP(C13,$J$5:$L$8,2,FALSE)</f>
        <v/>
      </c>
      <c r="E13" s="21">
        <f>VLOOKUP(C13,$J$5:$L$8,3,FALSE)</f>
        <v/>
      </c>
      <c r="F13" s="10" t="inlineStr">
        <is>
          <t>Paula Díaz · Ejecutiva Zona Oriente</t>
        </is>
      </c>
      <c r="G13" s="6" t="inlineStr">
        <is>
          <t>Ruta Oriente · martes y jueves</t>
        </is>
      </c>
    </row>
    <row r="14">
      <c r="A14" s="5" t="inlineStr">
        <is>
          <t>Las Condes</t>
        </is>
      </c>
      <c r="B14" s="10" t="inlineStr">
        <is>
          <t>Zona Oriente</t>
        </is>
      </c>
      <c r="C14" s="11" t="inlineStr">
        <is>
          <t>A</t>
        </is>
      </c>
      <c r="D14" s="21">
        <f>VLOOKUP(C14,$J$5:$L$8,2,FALSE)</f>
        <v/>
      </c>
      <c r="E14" s="21">
        <f>VLOOKUP(C14,$J$5:$L$8,3,FALSE)</f>
        <v/>
      </c>
      <c r="F14" s="10" t="inlineStr">
        <is>
          <t>Paula Díaz · Ejecutiva Zona Oriente</t>
        </is>
      </c>
      <c r="G14" s="6" t="inlineStr">
        <is>
          <t>Ruta Oriente · martes y jueves</t>
        </is>
      </c>
    </row>
    <row r="15">
      <c r="A15" s="5" t="inlineStr">
        <is>
          <t>Lo Prado</t>
        </is>
      </c>
      <c r="B15" s="10" t="inlineStr">
        <is>
          <t>Zona Norte y Poniente</t>
        </is>
      </c>
      <c r="C15" s="11" t="inlineStr">
        <is>
          <t>C</t>
        </is>
      </c>
      <c r="D15" s="21">
        <f>VLOOKUP(C15,$J$5:$L$8,2,FALSE)</f>
        <v/>
      </c>
      <c r="E15" s="21">
        <f>VLOOKUP(C15,$J$5:$L$8,3,FALSE)</f>
        <v/>
      </c>
      <c r="F15" s="10" t="inlineStr">
        <is>
          <t>Camila Soto · Ejecutiva Zona Norte y Poniente</t>
        </is>
      </c>
      <c r="G15" s="6" t="inlineStr">
        <is>
          <t>Ruta Norte · martes y viernes</t>
        </is>
      </c>
    </row>
    <row r="16">
      <c r="A16" s="5" t="inlineStr">
        <is>
          <t>Quinta Normal</t>
        </is>
      </c>
      <c r="B16" s="10" t="inlineStr">
        <is>
          <t>Zona Centro</t>
        </is>
      </c>
      <c r="C16" s="11" t="inlineStr">
        <is>
          <t>C</t>
        </is>
      </c>
      <c r="D16" s="21">
        <f>VLOOKUP(C16,$J$5:$L$8,2,FALSE)</f>
        <v/>
      </c>
      <c r="E16" s="21">
        <f>VLOOKUP(C16,$J$5:$L$8,3,FALSE)</f>
        <v/>
      </c>
      <c r="F16" s="10" t="inlineStr">
        <is>
          <t>Andrés Rojas · Ejecutivo Zona Centro</t>
        </is>
      </c>
      <c r="G16" s="6" t="inlineStr">
        <is>
          <t>Ruta Centro · lunes, miércoles y viernes</t>
        </is>
      </c>
    </row>
    <row r="17">
      <c r="A17" s="5" t="inlineStr">
        <is>
          <t>Estación Central</t>
        </is>
      </c>
      <c r="B17" s="10" t="inlineStr">
        <is>
          <t>Zona Centro</t>
        </is>
      </c>
      <c r="C17" s="11" t="inlineStr">
        <is>
          <t>C</t>
        </is>
      </c>
      <c r="D17" s="21">
        <f>VLOOKUP(C17,$J$5:$L$8,2,FALSE)</f>
        <v/>
      </c>
      <c r="E17" s="21">
        <f>VLOOKUP(C17,$J$5:$L$8,3,FALSE)</f>
        <v/>
      </c>
      <c r="F17" s="10" t="inlineStr">
        <is>
          <t>Andrés Rojas · Ejecutivo Zona Centro</t>
        </is>
      </c>
      <c r="G17" s="6" t="inlineStr">
        <is>
          <t>Ruta Centro · lunes, miércoles y viernes</t>
        </is>
      </c>
    </row>
    <row r="18">
      <c r="A18" s="5" t="inlineStr">
        <is>
          <t>Santiago Centro</t>
        </is>
      </c>
      <c r="B18" s="10" t="inlineStr">
        <is>
          <t>Zona Centro</t>
        </is>
      </c>
      <c r="C18" s="11" t="inlineStr">
        <is>
          <t>B</t>
        </is>
      </c>
      <c r="D18" s="21">
        <f>VLOOKUP(C18,$J$5:$L$8,2,FALSE)</f>
        <v/>
      </c>
      <c r="E18" s="21">
        <f>VLOOKUP(C18,$J$5:$L$8,3,FALSE)</f>
        <v/>
      </c>
      <c r="F18" s="10" t="inlineStr">
        <is>
          <t>Andrés Rojas · Ejecutivo Zona Centro</t>
        </is>
      </c>
      <c r="G18" s="6" t="inlineStr">
        <is>
          <t>Ruta Centro · lunes, miércoles y viernes</t>
        </is>
      </c>
    </row>
    <row r="19">
      <c r="A19" s="5" t="inlineStr">
        <is>
          <t>Ñuñoa</t>
        </is>
      </c>
      <c r="B19" s="10" t="inlineStr">
        <is>
          <t>Zona Oriente</t>
        </is>
      </c>
      <c r="C19" s="11" t="inlineStr">
        <is>
          <t>B</t>
        </is>
      </c>
      <c r="D19" s="21">
        <f>VLOOKUP(C19,$J$5:$L$8,2,FALSE)</f>
        <v/>
      </c>
      <c r="E19" s="21">
        <f>VLOOKUP(C19,$J$5:$L$8,3,FALSE)</f>
        <v/>
      </c>
      <c r="F19" s="10" t="inlineStr">
        <is>
          <t>Paula Díaz · Ejecutiva Zona Oriente</t>
        </is>
      </c>
      <c r="G19" s="6" t="inlineStr">
        <is>
          <t>Ruta Oriente · martes y jueves</t>
        </is>
      </c>
    </row>
    <row r="20">
      <c r="A20" s="5" t="inlineStr">
        <is>
          <t>La Reina</t>
        </is>
      </c>
      <c r="B20" s="10" t="inlineStr">
        <is>
          <t>Zona Oriente</t>
        </is>
      </c>
      <c r="C20" s="11" t="inlineStr">
        <is>
          <t>B</t>
        </is>
      </c>
      <c r="D20" s="21">
        <f>VLOOKUP(C20,$J$5:$L$8,2,FALSE)</f>
        <v/>
      </c>
      <c r="E20" s="21">
        <f>VLOOKUP(C20,$J$5:$L$8,3,FALSE)</f>
        <v/>
      </c>
      <c r="F20" s="10" t="inlineStr">
        <is>
          <t>Paula Díaz · Ejecutiva Zona Oriente</t>
        </is>
      </c>
      <c r="G20" s="6" t="inlineStr">
        <is>
          <t>Ruta Oriente · martes y jueves</t>
        </is>
      </c>
    </row>
    <row r="21">
      <c r="A21" s="5" t="inlineStr">
        <is>
          <t>Maipú</t>
        </is>
      </c>
      <c r="B21" s="10" t="inlineStr">
        <is>
          <t>Zona Norte y Poniente</t>
        </is>
      </c>
      <c r="C21" s="11" t="inlineStr">
        <is>
          <t>C</t>
        </is>
      </c>
      <c r="D21" s="21">
        <f>VLOOKUP(C21,$J$5:$L$8,2,FALSE)</f>
        <v/>
      </c>
      <c r="E21" s="21">
        <f>VLOOKUP(C21,$J$5:$L$8,3,FALSE)</f>
        <v/>
      </c>
      <c r="F21" s="10" t="inlineStr">
        <is>
          <t>Camila Soto · Ejecutiva Zona Norte y Poniente</t>
        </is>
      </c>
      <c r="G21" s="6" t="inlineStr">
        <is>
          <t>Ruta Norte · martes y viernes</t>
        </is>
      </c>
    </row>
    <row r="22">
      <c r="A22" s="5" t="inlineStr">
        <is>
          <t>Cerrillos</t>
        </is>
      </c>
      <c r="B22" s="10" t="inlineStr">
        <is>
          <t>Zona Norte y Poniente</t>
        </is>
      </c>
      <c r="C22" s="11" t="inlineStr">
        <is>
          <t>C</t>
        </is>
      </c>
      <c r="D22" s="21">
        <f>VLOOKUP(C22,$J$5:$L$8,2,FALSE)</f>
        <v/>
      </c>
      <c r="E22" s="21">
        <f>VLOOKUP(C22,$J$5:$L$8,3,FALSE)</f>
        <v/>
      </c>
      <c r="F22" s="10" t="inlineStr">
        <is>
          <t>Camila Soto · Ejecutiva Zona Norte y Poniente</t>
        </is>
      </c>
      <c r="G22" s="6" t="inlineStr">
        <is>
          <t>Ruta Norte · martes y viernes</t>
        </is>
      </c>
    </row>
    <row r="23">
      <c r="A23" s="5" t="inlineStr">
        <is>
          <t>San Miguel</t>
        </is>
      </c>
      <c r="B23" s="10" t="inlineStr">
        <is>
          <t>Zona Centro</t>
        </is>
      </c>
      <c r="C23" s="11" t="inlineStr">
        <is>
          <t>C</t>
        </is>
      </c>
      <c r="D23" s="21">
        <f>VLOOKUP(C23,$J$5:$L$8,2,FALSE)</f>
        <v/>
      </c>
      <c r="E23" s="21">
        <f>VLOOKUP(C23,$J$5:$L$8,3,FALSE)</f>
        <v/>
      </c>
      <c r="F23" s="10" t="inlineStr">
        <is>
          <t>Andrés Rojas · Ejecutivo Zona Centro</t>
        </is>
      </c>
      <c r="G23" s="6" t="inlineStr">
        <is>
          <t>Ruta Centro · lunes, miércoles y viernes</t>
        </is>
      </c>
    </row>
    <row r="24">
      <c r="A24" s="5" t="inlineStr">
        <is>
          <t>Macul</t>
        </is>
      </c>
      <c r="B24" s="10" t="inlineStr">
        <is>
          <t>Zona Sur</t>
        </is>
      </c>
      <c r="C24" s="11" t="inlineStr">
        <is>
          <t>C</t>
        </is>
      </c>
      <c r="D24" s="21">
        <f>VLOOKUP(C24,$J$5:$L$8,2,FALSE)</f>
        <v/>
      </c>
      <c r="E24" s="21">
        <f>VLOOKUP(C24,$J$5:$L$8,3,FALSE)</f>
        <v/>
      </c>
      <c r="F24" s="10" t="inlineStr">
        <is>
          <t>Diego Fuentes · Ejecutivo Zona Sur</t>
        </is>
      </c>
      <c r="G24" s="6" t="inlineStr">
        <is>
          <t>Ruta Sur · lunes y jueves</t>
        </is>
      </c>
    </row>
    <row r="25">
      <c r="A25" s="5" t="inlineStr">
        <is>
          <t>Peñalolén</t>
        </is>
      </c>
      <c r="B25" s="10" t="inlineStr">
        <is>
          <t>Zona Sur</t>
        </is>
      </c>
      <c r="C25" s="11" t="inlineStr">
        <is>
          <t>C</t>
        </is>
      </c>
      <c r="D25" s="21">
        <f>VLOOKUP(C25,$J$5:$L$8,2,FALSE)</f>
        <v/>
      </c>
      <c r="E25" s="21">
        <f>VLOOKUP(C25,$J$5:$L$8,3,FALSE)</f>
        <v/>
      </c>
      <c r="F25" s="10" t="inlineStr">
        <is>
          <t>Diego Fuentes · Ejecutivo Zona Sur</t>
        </is>
      </c>
      <c r="G25" s="6" t="inlineStr">
        <is>
          <t>Ruta Sur · lunes y jueves</t>
        </is>
      </c>
    </row>
    <row r="26">
      <c r="A26" s="5" t="inlineStr">
        <is>
          <t>La Cisterna</t>
        </is>
      </c>
      <c r="B26" s="10" t="inlineStr">
        <is>
          <t>Zona Sur</t>
        </is>
      </c>
      <c r="C26" s="11" t="inlineStr">
        <is>
          <t>C</t>
        </is>
      </c>
      <c r="D26" s="21">
        <f>VLOOKUP(C26,$J$5:$L$8,2,FALSE)</f>
        <v/>
      </c>
      <c r="E26" s="21">
        <f>VLOOKUP(C26,$J$5:$L$8,3,FALSE)</f>
        <v/>
      </c>
      <c r="F26" s="10" t="inlineStr">
        <is>
          <t>Diego Fuentes · Ejecutivo Zona Sur</t>
        </is>
      </c>
      <c r="G26" s="6" t="inlineStr">
        <is>
          <t>Ruta Sur · lunes y jueves</t>
        </is>
      </c>
    </row>
    <row r="27">
      <c r="A27" s="5" t="inlineStr">
        <is>
          <t>La Florida</t>
        </is>
      </c>
      <c r="B27" s="10" t="inlineStr">
        <is>
          <t>Zona Sur</t>
        </is>
      </c>
      <c r="C27" s="11" t="inlineStr">
        <is>
          <t>C</t>
        </is>
      </c>
      <c r="D27" s="21">
        <f>VLOOKUP(C27,$J$5:$L$8,2,FALSE)</f>
        <v/>
      </c>
      <c r="E27" s="21">
        <f>VLOOKUP(C27,$J$5:$L$8,3,FALSE)</f>
        <v/>
      </c>
      <c r="F27" s="10" t="inlineStr">
        <is>
          <t>Diego Fuentes · Ejecutivo Zona Sur</t>
        </is>
      </c>
      <c r="G27" s="6" t="inlineStr">
        <is>
          <t>Ruta Sur · lunes y jueves</t>
        </is>
      </c>
    </row>
    <row r="28">
      <c r="A28" s="5" t="inlineStr">
        <is>
          <t>Puente Alto</t>
        </is>
      </c>
      <c r="B28" s="10" t="inlineStr">
        <is>
          <t>Zona Sur</t>
        </is>
      </c>
      <c r="C28" s="11" t="inlineStr">
        <is>
          <t>C</t>
        </is>
      </c>
      <c r="D28" s="21">
        <f>VLOOKUP(C28,$J$5:$L$8,2,FALSE)</f>
        <v/>
      </c>
      <c r="E28" s="21">
        <f>VLOOKUP(C28,$J$5:$L$8,3,FALSE)</f>
        <v/>
      </c>
      <c r="F28" s="10" t="inlineStr">
        <is>
          <t>Diego Fuentes · Ejecutivo Zona Sur</t>
        </is>
      </c>
      <c r="G28" s="6" t="inlineStr">
        <is>
          <t>Ruta Sur · lunes y jueves</t>
        </is>
      </c>
    </row>
    <row r="29">
      <c r="A29" s="5" t="inlineStr">
        <is>
          <t>Valparaíso y Viña del Mar</t>
        </is>
      </c>
      <c r="B29" s="10" t="inlineStr">
        <is>
          <t>Regiones</t>
        </is>
      </c>
      <c r="C29" s="11" t="inlineStr">
        <is>
          <t>R</t>
        </is>
      </c>
      <c r="D29" s="21">
        <f>VLOOKUP(C29,$J$5:$L$8,2,FALSE)</f>
        <v/>
      </c>
      <c r="E29" s="21">
        <f>VLOOKUP(C29,$J$5:$L$8,3,FALSE)</f>
        <v/>
      </c>
      <c r="F29" s="10" t="inlineStr">
        <is>
          <t>Valentina Mora · Ejecutiva Regiones (remota)</t>
        </is>
      </c>
      <c r="G29" s="6" t="inlineStr">
        <is>
          <t>Despacho por transporte · plazo por confirmar</t>
        </is>
      </c>
    </row>
    <row r="30">
      <c r="A30" s="5" t="inlineStr">
        <is>
          <t>Concepción</t>
        </is>
      </c>
      <c r="B30" s="10" t="inlineStr">
        <is>
          <t>Regiones</t>
        </is>
      </c>
      <c r="C30" s="11" t="inlineStr">
        <is>
          <t>R</t>
        </is>
      </c>
      <c r="D30" s="21">
        <f>VLOOKUP(C30,$J$5:$L$8,2,FALSE)</f>
        <v/>
      </c>
      <c r="E30" s="21">
        <f>VLOOKUP(C30,$J$5:$L$8,3,FALSE)</f>
        <v/>
      </c>
      <c r="F30" s="10" t="inlineStr">
        <is>
          <t>Valentina Mora · Ejecutiva Regiones (remota)</t>
        </is>
      </c>
      <c r="G30" s="6" t="inlineStr">
        <is>
          <t>Despacho por transporte · plazo por confirmar</t>
        </is>
      </c>
    </row>
    <row r="31">
      <c r="A31" s="7" t="inlineStr">
        <is>
          <t>Otra región</t>
        </is>
      </c>
      <c r="B31" s="14" t="inlineStr">
        <is>
          <t>Regiones</t>
        </is>
      </c>
      <c r="C31" s="15" t="inlineStr">
        <is>
          <t>R</t>
        </is>
      </c>
      <c r="D31" s="22">
        <f>VLOOKUP(C31,$J$5:$L$8,2,FALSE)</f>
        <v/>
      </c>
      <c r="E31" s="22">
        <f>VLOOKUP(C31,$J$5:$L$8,3,FALSE)</f>
        <v/>
      </c>
      <c r="F31" s="14" t="inlineStr">
        <is>
          <t>Valentina Mora · Ejecutiva Regiones (remota)</t>
        </is>
      </c>
      <c r="G31" s="8" t="inlineStr">
        <is>
          <t>Despacho por transporte · plazo por confirmar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P34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4" customWidth="1" min="4" max="4"/>
    <col width="10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8" customWidth="1" min="12" max="12"/>
    <col width="11" customWidth="1" min="13" max="13"/>
    <col width="11" customWidth="1" min="14" max="14"/>
    <col width="10" customWidth="1" min="15" max="15"/>
    <col width="14" customWidth="1" min="16" max="16"/>
  </cols>
  <sheetData>
    <row r="1" ht="28" customHeight="1">
      <c r="A1" s="1" t="inlineStr">
        <is>
          <t>Financial Score v0.1 · clientes con compras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6" customHeight="1">
      <c r="A2" s="3" t="inlineStr">
        <is>
          <t>Pesos originales M2 (35/30/25/10) reescalados para dar 15 % a la zona. Cuentas, montos y pedidos FICTICIOS de demostración (los mismos del prototipo).</t>
        </is>
      </c>
    </row>
    <row r="3"/>
    <row r="4" ht="30" customHeight="1">
      <c r="A4" s="4" t="inlineStr">
        <is>
          <t>Componente</t>
        </is>
      </c>
      <c r="B4" s="4" t="inlineStr">
        <is>
          <t>Peso</t>
        </is>
      </c>
      <c r="C4" s="4" t="inlineStr">
        <is>
          <t>Normalización (0–100)</t>
        </is>
      </c>
    </row>
    <row r="5">
      <c r="A5" s="23" t="inlineStr">
        <is>
          <t>Ticket promedio</t>
        </is>
      </c>
      <c r="B5" s="24" t="n">
        <v>0.3</v>
      </c>
      <c r="C5" s="25" t="inlineStr">
        <is>
          <t>MIN(100; ticket / 5.000)</t>
        </is>
      </c>
    </row>
    <row r="6">
      <c r="A6" s="23" t="inlineStr">
        <is>
          <t>Frecuencia</t>
        </is>
      </c>
      <c r="B6" s="24" t="n">
        <v>0.25</v>
      </c>
      <c r="C6" s="25" t="inlineStr">
        <is>
          <t>MIN(100; (pedidos en 180 días / 6) / 4 × 100)</t>
        </is>
      </c>
    </row>
    <row r="7">
      <c r="A7" s="23" t="inlineStr">
        <is>
          <t>Margen relativo</t>
        </is>
      </c>
      <c r="B7" s="24" t="n">
        <v>0.2</v>
      </c>
      <c r="C7" s="25" t="inlineStr">
        <is>
          <t>Dato 0–100 (por confirmar con finanzas)</t>
        </is>
      </c>
    </row>
    <row r="8">
      <c r="A8" s="23" t="inlineStr">
        <is>
          <t>Amplitud</t>
        </is>
      </c>
      <c r="B8" s="24" t="n">
        <v>0.1</v>
      </c>
      <c r="C8" s="25" t="inlineStr">
        <is>
          <t>MIN(100; categorías / 5 × 100)</t>
        </is>
      </c>
    </row>
    <row r="9">
      <c r="A9" s="23" t="inlineStr">
        <is>
          <t>Zona</t>
        </is>
      </c>
      <c r="B9" s="24" t="n">
        <v>0.15</v>
      </c>
      <c r="C9" s="25" t="inlineStr">
        <is>
          <t>Potencial de la comuna (02_ZONAS)</t>
        </is>
      </c>
    </row>
    <row r="10">
      <c r="A10" s="26" t="inlineStr">
        <is>
          <t>Suma de pesos (debe ser 100 %)</t>
        </is>
      </c>
      <c r="B10" s="27">
        <f>SUM(B5:B9)</f>
        <v/>
      </c>
      <c r="C10" s="28" t="n"/>
    </row>
    <row r="11"/>
    <row r="12" ht="30" customHeight="1">
      <c r="A12" s="4" t="inlineStr">
        <is>
          <t>Cliente (ficticio)</t>
        </is>
      </c>
      <c r="B12" s="4" t="inlineStr">
        <is>
          <t>Tipo</t>
        </is>
      </c>
      <c r="C12" s="4" t="inlineStr">
        <is>
          <t>Comuna</t>
        </is>
      </c>
      <c r="D12" s="4" t="inlineStr">
        <is>
          <t>Ticket promedio (CLP, ficticio)</t>
        </is>
      </c>
      <c r="E12" s="4" t="inlineStr">
        <is>
          <t>Pedidos 180 días</t>
        </is>
      </c>
      <c r="F12" s="4" t="inlineStr">
        <is>
          <t>Margen relativo</t>
        </is>
      </c>
      <c r="G12" s="4" t="inlineStr">
        <is>
          <t>Categorías</t>
        </is>
      </c>
      <c r="H12" s="4" t="inlineStr">
        <is>
          <t>Ticket n</t>
        </is>
      </c>
      <c r="I12" s="4" t="inlineStr">
        <is>
          <t>Frecuencia n</t>
        </is>
      </c>
      <c r="J12" s="4" t="inlineStr">
        <is>
          <t>Margen n</t>
        </is>
      </c>
      <c r="K12" s="4" t="inlineStr">
        <is>
          <t>Amplitud n</t>
        </is>
      </c>
      <c r="L12" s="4" t="inlineStr">
        <is>
          <t>Zona n</t>
        </is>
      </c>
      <c r="M12" s="4" t="inlineStr">
        <is>
          <t>Financial (Excel)</t>
        </is>
      </c>
      <c r="N12" s="4" t="inlineStr">
        <is>
          <t>Financial (prototipo)</t>
        </is>
      </c>
      <c r="O12" s="4" t="inlineStr">
        <is>
          <t>Diferencia</t>
        </is>
      </c>
      <c r="P12" s="4" t="inlineStr">
        <is>
          <t>Tipo de cliente (prototipo)</t>
        </is>
      </c>
    </row>
    <row r="13">
      <c r="A13" s="5" t="inlineStr">
        <is>
          <t>Hotel Altos del Parque</t>
        </is>
      </c>
      <c r="B13" s="10" t="inlineStr">
        <is>
          <t>Hotel</t>
        </is>
      </c>
      <c r="C13" s="10" t="inlineStr">
        <is>
          <t>Vitacura</t>
        </is>
      </c>
      <c r="D13" s="29" t="n">
        <v>432366</v>
      </c>
      <c r="E13" s="11" t="n">
        <v>13</v>
      </c>
      <c r="F13" s="11" t="n">
        <v>72</v>
      </c>
      <c r="G13" s="11" t="n">
        <v>4</v>
      </c>
      <c r="H13" s="30">
        <f>MIN(100,D13/5000)</f>
        <v/>
      </c>
      <c r="I13" s="30">
        <f>MIN(100,(E13/6)/4*100)</f>
        <v/>
      </c>
      <c r="J13" s="30">
        <f>F13</f>
        <v/>
      </c>
      <c r="K13" s="30">
        <f>MIN(100,G13/5*100)</f>
        <v/>
      </c>
      <c r="L13" s="30">
        <f>VLOOKUP(C13,'02_ZONAS'!$A$5:$E$31,5,FALSE)</f>
        <v/>
      </c>
      <c r="M13" s="21">
        <f>ROUND(H13*$B$5+I13*$B$6+J13*$B$7+K13*$B$8+L13*$B$9,0)</f>
        <v/>
      </c>
      <c r="N13" s="10" t="n">
        <v>77</v>
      </c>
      <c r="O13" s="21">
        <f>M13-N13</f>
        <v/>
      </c>
      <c r="P13" s="6" t="inlineStr">
        <is>
          <t>Frecuente</t>
        </is>
      </c>
    </row>
    <row r="14">
      <c r="A14" s="5" t="inlineStr">
        <is>
          <t>Restaurante Fogón 21</t>
        </is>
      </c>
      <c r="B14" s="10" t="inlineStr">
        <is>
          <t>Restaurante</t>
        </is>
      </c>
      <c r="C14" s="10" t="inlineStr">
        <is>
          <t>Las Condes</t>
        </is>
      </c>
      <c r="D14" s="29" t="n">
        <v>270571</v>
      </c>
      <c r="E14" s="11" t="n">
        <v>19</v>
      </c>
      <c r="F14" s="11" t="n">
        <v>64</v>
      </c>
      <c r="G14" s="11" t="n">
        <v>3</v>
      </c>
      <c r="H14" s="30">
        <f>MIN(100,D14/5000)</f>
        <v/>
      </c>
      <c r="I14" s="30">
        <f>MIN(100,(E14/6)/4*100)</f>
        <v/>
      </c>
      <c r="J14" s="30">
        <f>F14</f>
        <v/>
      </c>
      <c r="K14" s="30">
        <f>MIN(100,G14/5*100)</f>
        <v/>
      </c>
      <c r="L14" s="30">
        <f>VLOOKUP(C14,'02_ZONAS'!$A$5:$E$31,5,FALSE)</f>
        <v/>
      </c>
      <c r="M14" s="21">
        <f>ROUND(H14*$B$5+I14*$B$6+J14*$B$7+K14*$B$8+L14*$B$9,0)</f>
        <v/>
      </c>
      <c r="N14" s="10" t="n">
        <v>70</v>
      </c>
      <c r="O14" s="21">
        <f>M14-N14</f>
        <v/>
      </c>
      <c r="P14" s="6" t="inlineStr">
        <is>
          <t>Frecuente</t>
        </is>
      </c>
    </row>
    <row r="15">
      <c r="A15" s="5" t="inlineStr">
        <is>
          <t>Café La Esquina Verde</t>
        </is>
      </c>
      <c r="B15" s="10" t="inlineStr">
        <is>
          <t>Cafetería</t>
        </is>
      </c>
      <c r="C15" s="10" t="inlineStr">
        <is>
          <t>Ñuñoa</t>
        </is>
      </c>
      <c r="D15" s="29" t="n">
        <v>176500</v>
      </c>
      <c r="E15" s="11" t="n">
        <v>25</v>
      </c>
      <c r="F15" s="11" t="n">
        <v>58</v>
      </c>
      <c r="G15" s="11" t="n">
        <v>4</v>
      </c>
      <c r="H15" s="30">
        <f>MIN(100,D15/5000)</f>
        <v/>
      </c>
      <c r="I15" s="30">
        <f>MIN(100,(E15/6)/4*100)</f>
        <v/>
      </c>
      <c r="J15" s="30">
        <f>F15</f>
        <v/>
      </c>
      <c r="K15" s="30">
        <f>MIN(100,G15/5*100)</f>
        <v/>
      </c>
      <c r="L15" s="30">
        <f>VLOOKUP(C15,'02_ZONAS'!$A$5:$E$31,5,FALSE)</f>
        <v/>
      </c>
      <c r="M15" s="21">
        <f>ROUND(H15*$B$5+I15*$B$6+J15*$B$7+K15*$B$8+L15*$B$9,0)</f>
        <v/>
      </c>
      <c r="N15" s="10" t="n">
        <v>66</v>
      </c>
      <c r="O15" s="21">
        <f>M15-N15</f>
        <v/>
      </c>
      <c r="P15" s="6" t="inlineStr">
        <is>
          <t>Frecuente</t>
        </is>
      </c>
    </row>
    <row r="16">
      <c r="A16" s="5" t="inlineStr">
        <is>
          <t>Hotel Plaza Moneda</t>
        </is>
      </c>
      <c r="B16" s="10" t="inlineStr">
        <is>
          <t>Hotel</t>
        </is>
      </c>
      <c r="C16" s="10" t="inlineStr">
        <is>
          <t>Santiago Centro</t>
        </is>
      </c>
      <c r="D16" s="29" t="n">
        <v>304318</v>
      </c>
      <c r="E16" s="11" t="n">
        <v>8</v>
      </c>
      <c r="F16" s="11" t="n">
        <v>55</v>
      </c>
      <c r="G16" s="11" t="n">
        <v>3</v>
      </c>
      <c r="H16" s="30">
        <f>MIN(100,D16/5000)</f>
        <v/>
      </c>
      <c r="I16" s="30">
        <f>MIN(100,(E16/6)/4*100)</f>
        <v/>
      </c>
      <c r="J16" s="30">
        <f>F16</f>
        <v/>
      </c>
      <c r="K16" s="30">
        <f>MIN(100,G16/5*100)</f>
        <v/>
      </c>
      <c r="L16" s="30">
        <f>VLOOKUP(C16,'02_ZONAS'!$A$5:$E$31,5,FALSE)</f>
        <v/>
      </c>
      <c r="M16" s="21">
        <f>ROUND(H16*$B$5+I16*$B$6+J16*$B$7+K16*$B$8+L16*$B$9,0)</f>
        <v/>
      </c>
      <c r="N16" s="10" t="n">
        <v>54</v>
      </c>
      <c r="O16" s="21">
        <f>M16-N16</f>
        <v/>
      </c>
      <c r="P16" s="6" t="inlineStr">
        <is>
          <t>Frecuente</t>
        </is>
      </c>
    </row>
    <row r="17">
      <c r="A17" s="5" t="inlineStr">
        <is>
          <t>Café Bistró Providencia</t>
        </is>
      </c>
      <c r="B17" s="10" t="inlineStr">
        <is>
          <t>Restaurante</t>
        </is>
      </c>
      <c r="C17" s="10" t="inlineStr">
        <is>
          <t>Providencia</t>
        </is>
      </c>
      <c r="D17" s="29" t="n">
        <v>146235</v>
      </c>
      <c r="E17" s="11" t="n">
        <v>12</v>
      </c>
      <c r="F17" s="11" t="n">
        <v>61</v>
      </c>
      <c r="G17" s="11" t="n">
        <v>2</v>
      </c>
      <c r="H17" s="30">
        <f>MIN(100,D17/5000)</f>
        <v/>
      </c>
      <c r="I17" s="30">
        <f>MIN(100,(E17/6)/4*100)</f>
        <v/>
      </c>
      <c r="J17" s="30">
        <f>F17</f>
        <v/>
      </c>
      <c r="K17" s="30">
        <f>MIN(100,G17/5*100)</f>
        <v/>
      </c>
      <c r="L17" s="30">
        <f>VLOOKUP(C17,'02_ZONAS'!$A$5:$E$31,5,FALSE)</f>
        <v/>
      </c>
      <c r="M17" s="21">
        <f>ROUND(H17*$B$5+I17*$B$6+J17*$B$7+K17*$B$8+L17*$B$9,0)</f>
        <v/>
      </c>
      <c r="N17" s="10" t="n">
        <v>52</v>
      </c>
      <c r="O17" s="21">
        <f>M17-N17</f>
        <v/>
      </c>
      <c r="P17" s="6" t="inlineStr">
        <is>
          <t>Frecuente</t>
        </is>
      </c>
    </row>
    <row r="18">
      <c r="A18" s="5" t="inlineStr">
        <is>
          <t>Bistró Los Aromos</t>
        </is>
      </c>
      <c r="B18" s="10" t="inlineStr">
        <is>
          <t>Restaurante</t>
        </is>
      </c>
      <c r="C18" s="10" t="inlineStr">
        <is>
          <t>La Reina</t>
        </is>
      </c>
      <c r="D18" s="29" t="n">
        <v>128300</v>
      </c>
      <c r="E18" s="11" t="n">
        <v>8</v>
      </c>
      <c r="F18" s="11" t="n">
        <v>52</v>
      </c>
      <c r="G18" s="11" t="n">
        <v>2</v>
      </c>
      <c r="H18" s="30">
        <f>MIN(100,D18/5000)</f>
        <v/>
      </c>
      <c r="I18" s="30">
        <f>MIN(100,(E18/6)/4*100)</f>
        <v/>
      </c>
      <c r="J18" s="30">
        <f>F18</f>
        <v/>
      </c>
      <c r="K18" s="30">
        <f>MIN(100,G18/5*100)</f>
        <v/>
      </c>
      <c r="L18" s="30">
        <f>VLOOKUP(C18,'02_ZONAS'!$A$5:$E$31,5,FALSE)</f>
        <v/>
      </c>
      <c r="M18" s="21">
        <f>ROUND(H18*$B$5+I18*$B$6+J18*$B$7+K18*$B$8+L18*$B$9,0)</f>
        <v/>
      </c>
      <c r="N18" s="10" t="n">
        <v>41</v>
      </c>
      <c r="O18" s="21">
        <f>M18-N18</f>
        <v/>
      </c>
      <c r="P18" s="6" t="inlineStr">
        <is>
          <t>Frecuente</t>
        </is>
      </c>
    </row>
    <row r="19">
      <c r="A19" s="5" t="inlineStr">
        <is>
          <t>Hotel Terminal Aéreo</t>
        </is>
      </c>
      <c r="B19" s="10" t="inlineStr">
        <is>
          <t>Hotel</t>
        </is>
      </c>
      <c r="C19" s="10" t="inlineStr">
        <is>
          <t>Pudahuel</t>
        </is>
      </c>
      <c r="D19" s="29" t="n">
        <v>378879</v>
      </c>
      <c r="E19" s="11" t="n">
        <v>16</v>
      </c>
      <c r="F19" s="11" t="n">
        <v>49</v>
      </c>
      <c r="G19" s="11" t="n">
        <v>3</v>
      </c>
      <c r="H19" s="30">
        <f>MIN(100,D19/5000)</f>
        <v/>
      </c>
      <c r="I19" s="30">
        <f>MIN(100,(E19/6)/4*100)</f>
        <v/>
      </c>
      <c r="J19" s="30">
        <f>F19</f>
        <v/>
      </c>
      <c r="K19" s="30">
        <f>MIN(100,G19/5*100)</f>
        <v/>
      </c>
      <c r="L19" s="30">
        <f>VLOOKUP(C19,'02_ZONAS'!$A$5:$E$31,5,FALSE)</f>
        <v/>
      </c>
      <c r="M19" s="21">
        <f>ROUND(H19*$B$5+I19*$B$6+J19*$B$7+K19*$B$8+L19*$B$9,0)</f>
        <v/>
      </c>
      <c r="N19" s="10" t="n">
        <v>66</v>
      </c>
      <c r="O19" s="21">
        <f>M19-N19</f>
        <v/>
      </c>
      <c r="P19" s="6" t="inlineStr">
        <is>
          <t>Frecuente</t>
        </is>
      </c>
    </row>
    <row r="20">
      <c r="A20" s="5" t="inlineStr">
        <is>
          <t>Cafetería Los Maitenes</t>
        </is>
      </c>
      <c r="B20" s="10" t="inlineStr">
        <is>
          <t>Cafetería</t>
        </is>
      </c>
      <c r="C20" s="10" t="inlineStr">
        <is>
          <t>Huechuraba</t>
        </is>
      </c>
      <c r="D20" s="29" t="n">
        <v>137364</v>
      </c>
      <c r="E20" s="11" t="n">
        <v>6</v>
      </c>
      <c r="F20" s="11" t="n">
        <v>57</v>
      </c>
      <c r="G20" s="11" t="n">
        <v>1</v>
      </c>
      <c r="H20" s="30">
        <f>MIN(100,D20/5000)</f>
        <v/>
      </c>
      <c r="I20" s="30">
        <f>MIN(100,(E20/6)/4*100)</f>
        <v/>
      </c>
      <c r="J20" s="30">
        <f>F20</f>
        <v/>
      </c>
      <c r="K20" s="30">
        <f>MIN(100,G20/5*100)</f>
        <v/>
      </c>
      <c r="L20" s="30">
        <f>VLOOKUP(C20,'02_ZONAS'!$A$5:$E$31,5,FALSE)</f>
        <v/>
      </c>
      <c r="M20" s="21">
        <f>ROUND(H20*$B$5+I20*$B$6+J20*$B$7+K20*$B$8+L20*$B$9,0)</f>
        <v/>
      </c>
      <c r="N20" s="10" t="n">
        <v>38</v>
      </c>
      <c r="O20" s="21">
        <f>M20-N20</f>
        <v/>
      </c>
      <c r="P20" s="6" t="inlineStr">
        <is>
          <t>Frecuente</t>
        </is>
      </c>
    </row>
    <row r="21">
      <c r="A21" s="5" t="inlineStr">
        <is>
          <t>Cafetería Plaza Poniente</t>
        </is>
      </c>
      <c r="B21" s="10" t="inlineStr">
        <is>
          <t>Cafetería</t>
        </is>
      </c>
      <c r="C21" s="10" t="inlineStr">
        <is>
          <t>Maipú</t>
        </is>
      </c>
      <c r="D21" s="29" t="n">
        <v>92615</v>
      </c>
      <c r="E21" s="11" t="n">
        <v>8</v>
      </c>
      <c r="F21" s="11" t="n">
        <v>44</v>
      </c>
      <c r="G21" s="11" t="n">
        <v>1</v>
      </c>
      <c r="H21" s="30">
        <f>MIN(100,D21/5000)</f>
        <v/>
      </c>
      <c r="I21" s="30">
        <f>MIN(100,(E21/6)/4*100)</f>
        <v/>
      </c>
      <c r="J21" s="30">
        <f>F21</f>
        <v/>
      </c>
      <c r="K21" s="30">
        <f>MIN(100,G21/5*100)</f>
        <v/>
      </c>
      <c r="L21" s="30">
        <f>VLOOKUP(C21,'02_ZONAS'!$A$5:$E$31,5,FALSE)</f>
        <v/>
      </c>
      <c r="M21" s="21">
        <f>ROUND(H21*$B$5+I21*$B$6+J21*$B$7+K21*$B$8+L21*$B$9,0)</f>
        <v/>
      </c>
      <c r="N21" s="10" t="n">
        <v>31</v>
      </c>
      <c r="O21" s="21">
        <f>M21-N21</f>
        <v/>
      </c>
      <c r="P21" s="6" t="inlineStr">
        <is>
          <t>Frecuente</t>
        </is>
      </c>
    </row>
    <row r="22">
      <c r="A22" s="5" t="inlineStr">
        <is>
          <t>Picada El Sur</t>
        </is>
      </c>
      <c r="B22" s="10" t="inlineStr">
        <is>
          <t>Restaurante</t>
        </is>
      </c>
      <c r="C22" s="10" t="inlineStr">
        <is>
          <t>La Florida</t>
        </is>
      </c>
      <c r="D22" s="29" t="n">
        <v>93500</v>
      </c>
      <c r="E22" s="11" t="n">
        <v>2</v>
      </c>
      <c r="F22" s="11" t="n">
        <v>40</v>
      </c>
      <c r="G22" s="11" t="n">
        <v>1</v>
      </c>
      <c r="H22" s="30">
        <f>MIN(100,D22/5000)</f>
        <v/>
      </c>
      <c r="I22" s="30">
        <f>MIN(100,(E22/6)/4*100)</f>
        <v/>
      </c>
      <c r="J22" s="30">
        <f>F22</f>
        <v/>
      </c>
      <c r="K22" s="30">
        <f>MIN(100,G22/5*100)</f>
        <v/>
      </c>
      <c r="L22" s="30">
        <f>VLOOKUP(C22,'02_ZONAS'!$A$5:$E$31,5,FALSE)</f>
        <v/>
      </c>
      <c r="M22" s="21">
        <f>ROUND(H22*$B$5+I22*$B$6+J22*$B$7+K22*$B$8+L22*$B$9,0)</f>
        <v/>
      </c>
      <c r="N22" s="10" t="n">
        <v>24</v>
      </c>
      <c r="O22" s="21">
        <f>M22-N22</f>
        <v/>
      </c>
      <c r="P22" s="6" t="inlineStr">
        <is>
          <t>Inactivo</t>
        </is>
      </c>
    </row>
    <row r="23">
      <c r="A23" s="5" t="inlineStr">
        <is>
          <t>Eventos Cordillera</t>
        </is>
      </c>
      <c r="B23" s="10" t="inlineStr">
        <is>
          <t>Eventos o catering</t>
        </is>
      </c>
      <c r="C23" s="10" t="inlineStr">
        <is>
          <t>Lo Barnechea</t>
        </is>
      </c>
      <c r="D23" s="29" t="n">
        <v>518667</v>
      </c>
      <c r="E23" s="11" t="n">
        <v>4</v>
      </c>
      <c r="F23" s="11" t="n">
        <v>68</v>
      </c>
      <c r="G23" s="11" t="n">
        <v>4</v>
      </c>
      <c r="H23" s="30">
        <f>MIN(100,D23/5000)</f>
        <v/>
      </c>
      <c r="I23" s="30">
        <f>MIN(100,(E23/6)/4*100)</f>
        <v/>
      </c>
      <c r="J23" s="30">
        <f>F23</f>
        <v/>
      </c>
      <c r="K23" s="30">
        <f>MIN(100,G23/5*100)</f>
        <v/>
      </c>
      <c r="L23" s="30">
        <f>VLOOKUP(C23,'02_ZONAS'!$A$5:$E$31,5,FALSE)</f>
        <v/>
      </c>
      <c r="M23" s="21">
        <f>ROUND(H23*$B$5+I23*$B$6+J23*$B$7+K23*$B$8+L23*$B$9,0)</f>
        <v/>
      </c>
      <c r="N23" s="10" t="n">
        <v>71</v>
      </c>
      <c r="O23" s="21">
        <f>M23-N23</f>
        <v/>
      </c>
      <c r="P23" s="6" t="inlineStr">
        <is>
          <t>Ocasional</t>
        </is>
      </c>
    </row>
    <row r="24">
      <c r="A24" s="5" t="inlineStr">
        <is>
          <t>Hostal Patio Recoleta</t>
        </is>
      </c>
      <c r="B24" s="10" t="inlineStr">
        <is>
          <t>Hotel</t>
        </is>
      </c>
      <c r="C24" s="10" t="inlineStr">
        <is>
          <t>Recoleta</t>
        </is>
      </c>
      <c r="D24" s="29" t="n">
        <v>70600</v>
      </c>
      <c r="E24" s="11" t="n">
        <v>5</v>
      </c>
      <c r="F24" s="11" t="n">
        <v>46</v>
      </c>
      <c r="G24" s="11" t="n">
        <v>1</v>
      </c>
      <c r="H24" s="30">
        <f>MIN(100,D24/5000)</f>
        <v/>
      </c>
      <c r="I24" s="30">
        <f>MIN(100,(E24/6)/4*100)</f>
        <v/>
      </c>
      <c r="J24" s="30">
        <f>F24</f>
        <v/>
      </c>
      <c r="K24" s="30">
        <f>MIN(100,G24/5*100)</f>
        <v/>
      </c>
      <c r="L24" s="30">
        <f>VLOOKUP(C24,'02_ZONAS'!$A$5:$E$31,5,FALSE)</f>
        <v/>
      </c>
      <c r="M24" s="21">
        <f>ROUND(H24*$B$5+I24*$B$6+J24*$B$7+K24*$B$8+L24*$B$9,0)</f>
        <v/>
      </c>
      <c r="N24" s="10" t="n">
        <v>27</v>
      </c>
      <c r="O24" s="21">
        <f>M24-N24</f>
        <v/>
      </c>
      <c r="P24" s="6" t="inlineStr">
        <is>
          <t>Frecuente</t>
        </is>
      </c>
    </row>
    <row r="25">
      <c r="A25" s="5" t="inlineStr">
        <is>
          <t>Café Andén</t>
        </is>
      </c>
      <c r="B25" s="10" t="inlineStr">
        <is>
          <t>Cafetería</t>
        </is>
      </c>
      <c r="C25" s="10" t="inlineStr">
        <is>
          <t>Estación Central</t>
        </is>
      </c>
      <c r="D25" s="29" t="n">
        <v>64500</v>
      </c>
      <c r="E25" s="11" t="n">
        <v>2</v>
      </c>
      <c r="F25" s="11" t="n">
        <v>50</v>
      </c>
      <c r="G25" s="11" t="n">
        <v>1</v>
      </c>
      <c r="H25" s="30">
        <f>MIN(100,D25/5000)</f>
        <v/>
      </c>
      <c r="I25" s="30">
        <f>MIN(100,(E25/6)/4*100)</f>
        <v/>
      </c>
      <c r="J25" s="30">
        <f>F25</f>
        <v/>
      </c>
      <c r="K25" s="30">
        <f>MIN(100,G25/5*100)</f>
        <v/>
      </c>
      <c r="L25" s="30">
        <f>VLOOKUP(C25,'02_ZONAS'!$A$5:$E$31,5,FALSE)</f>
        <v/>
      </c>
      <c r="M25" s="21">
        <f>ROUND(H25*$B$5+I25*$B$6+J25*$B$7+K25*$B$8+L25*$B$9,0)</f>
        <v/>
      </c>
      <c r="N25" s="10" t="n">
        <v>24</v>
      </c>
      <c r="O25" s="21">
        <f>M25-N25</f>
        <v/>
      </c>
      <c r="P25" s="6" t="inlineStr">
        <is>
          <t>Nuevo</t>
        </is>
      </c>
    </row>
    <row r="26">
      <c r="A26" s="5" t="inlineStr">
        <is>
          <t>Restaurante Costanera Viña</t>
        </is>
      </c>
      <c r="B26" s="10" t="inlineStr">
        <is>
          <t>Restaurante</t>
        </is>
      </c>
      <c r="C26" s="10" t="inlineStr">
        <is>
          <t>Valparaíso y Viña del Mar</t>
        </is>
      </c>
      <c r="D26" s="29" t="n">
        <v>208300</v>
      </c>
      <c r="E26" s="11" t="n">
        <v>6</v>
      </c>
      <c r="F26" s="11" t="n">
        <v>41</v>
      </c>
      <c r="G26" s="11" t="n">
        <v>2</v>
      </c>
      <c r="H26" s="30">
        <f>MIN(100,D26/5000)</f>
        <v/>
      </c>
      <c r="I26" s="30">
        <f>MIN(100,(E26/6)/4*100)</f>
        <v/>
      </c>
      <c r="J26" s="30">
        <f>F26</f>
        <v/>
      </c>
      <c r="K26" s="30">
        <f>MIN(100,G26/5*100)</f>
        <v/>
      </c>
      <c r="L26" s="30">
        <f>VLOOKUP(C26,'02_ZONAS'!$A$5:$E$31,5,FALSE)</f>
        <v/>
      </c>
      <c r="M26" s="21">
        <f>ROUND(H26*$B$5+I26*$B$6+J26*$B$7+K26*$B$8+L26*$B$9,0)</f>
        <v/>
      </c>
      <c r="N26" s="10" t="n">
        <v>35</v>
      </c>
      <c r="O26" s="21">
        <f>M26-N26</f>
        <v/>
      </c>
      <c r="P26" s="6" t="inlineStr">
        <is>
          <t>Frecuente</t>
        </is>
      </c>
    </row>
    <row r="27">
      <c r="A27" s="5" t="inlineStr">
        <is>
          <t>Hotel Bahía Sur</t>
        </is>
      </c>
      <c r="B27" s="10" t="inlineStr">
        <is>
          <t>Hotel</t>
        </is>
      </c>
      <c r="C27" s="10" t="inlineStr">
        <is>
          <t>Concepción</t>
        </is>
      </c>
      <c r="D27" s="29" t="n">
        <v>239000</v>
      </c>
      <c r="E27" s="11" t="n">
        <v>1</v>
      </c>
      <c r="F27" s="11" t="n">
        <v>38</v>
      </c>
      <c r="G27" s="11" t="n">
        <v>2</v>
      </c>
      <c r="H27" s="30">
        <f>MIN(100,D27/5000)</f>
        <v/>
      </c>
      <c r="I27" s="30">
        <f>MIN(100,(E27/6)/4*100)</f>
        <v/>
      </c>
      <c r="J27" s="30">
        <f>F27</f>
        <v/>
      </c>
      <c r="K27" s="30">
        <f>MIN(100,G27/5*100)</f>
        <v/>
      </c>
      <c r="L27" s="30">
        <f>VLOOKUP(C27,'02_ZONAS'!$A$5:$E$31,5,FALSE)</f>
        <v/>
      </c>
      <c r="M27" s="21">
        <f>ROUND(H27*$B$5+I27*$B$6+J27*$B$7+K27*$B$8+L27*$B$9,0)</f>
        <v/>
      </c>
      <c r="N27" s="10" t="n">
        <v>31</v>
      </c>
      <c r="O27" s="21">
        <f>M27-N27</f>
        <v/>
      </c>
      <c r="P27" s="6" t="inlineStr">
        <is>
          <t>Nuevo</t>
        </is>
      </c>
    </row>
    <row r="28">
      <c r="A28" s="5" t="inlineStr">
        <is>
          <t>Bar Once Providencia</t>
        </is>
      </c>
      <c r="B28" s="10" t="inlineStr">
        <is>
          <t>Restaurante</t>
        </is>
      </c>
      <c r="C28" s="10" t="inlineStr">
        <is>
          <t>Providencia</t>
        </is>
      </c>
      <c r="D28" s="29" t="n">
        <v>229487</v>
      </c>
      <c r="E28" s="11" t="n">
        <v>20</v>
      </c>
      <c r="F28" s="11" t="n">
        <v>63</v>
      </c>
      <c r="G28" s="11" t="n">
        <v>3</v>
      </c>
      <c r="H28" s="30">
        <f>MIN(100,D28/5000)</f>
        <v/>
      </c>
      <c r="I28" s="30">
        <f>MIN(100,(E28/6)/4*100)</f>
        <v/>
      </c>
      <c r="J28" s="30">
        <f>F28</f>
        <v/>
      </c>
      <c r="K28" s="30">
        <f>MIN(100,G28/5*100)</f>
        <v/>
      </c>
      <c r="L28" s="30">
        <f>VLOOKUP(C28,'02_ZONAS'!$A$5:$E$31,5,FALSE)</f>
        <v/>
      </c>
      <c r="M28" s="21">
        <f>ROUND(H28*$B$5+I28*$B$6+J28*$B$7+K28*$B$8+L28*$B$9,0)</f>
        <v/>
      </c>
      <c r="N28" s="10" t="n">
        <v>68</v>
      </c>
      <c r="O28" s="21">
        <f>M28-N28</f>
        <v/>
      </c>
      <c r="P28" s="6" t="inlineStr">
        <is>
          <t>Frecuente</t>
        </is>
      </c>
    </row>
    <row r="29">
      <c r="A29" s="5" t="inlineStr">
        <is>
          <t>Hotel Mirador Andino</t>
        </is>
      </c>
      <c r="B29" s="10" t="inlineStr">
        <is>
          <t>Hotel</t>
        </is>
      </c>
      <c r="C29" s="10" t="inlineStr">
        <is>
          <t>Las Condes</t>
        </is>
      </c>
      <c r="D29" s="29" t="n">
        <v>457895</v>
      </c>
      <c r="E29" s="11" t="n">
        <v>10</v>
      </c>
      <c r="F29" s="11" t="n">
        <v>74</v>
      </c>
      <c r="G29" s="11" t="n">
        <v>4</v>
      </c>
      <c r="H29" s="30">
        <f>MIN(100,D29/5000)</f>
        <v/>
      </c>
      <c r="I29" s="30">
        <f>MIN(100,(E29/6)/4*100)</f>
        <v/>
      </c>
      <c r="J29" s="30">
        <f>F29</f>
        <v/>
      </c>
      <c r="K29" s="30">
        <f>MIN(100,G29/5*100)</f>
        <v/>
      </c>
      <c r="L29" s="30">
        <f>VLOOKUP(C29,'02_ZONAS'!$A$5:$E$31,5,FALSE)</f>
        <v/>
      </c>
      <c r="M29" s="21">
        <f>ROUND(H29*$B$5+I29*$B$6+J29*$B$7+K29*$B$8+L29*$B$9,0)</f>
        <v/>
      </c>
      <c r="N29" s="10" t="n">
        <v>76</v>
      </c>
      <c r="O29" s="21">
        <f>M29-N29</f>
        <v/>
      </c>
      <c r="P29" s="6" t="inlineStr">
        <is>
          <t>Frecuente</t>
        </is>
      </c>
    </row>
    <row r="30">
      <c r="A30" s="5" t="inlineStr">
        <is>
          <t>Café Macul 40</t>
        </is>
      </c>
      <c r="B30" s="10" t="inlineStr">
        <is>
          <t>Cafetería</t>
        </is>
      </c>
      <c r="C30" s="10" t="inlineStr">
        <is>
          <t>Macul</t>
        </is>
      </c>
      <c r="D30" s="29" t="n">
        <v>72167</v>
      </c>
      <c r="E30" s="11" t="n">
        <v>6</v>
      </c>
      <c r="F30" s="11" t="n">
        <v>47</v>
      </c>
      <c r="G30" s="11" t="n">
        <v>2</v>
      </c>
      <c r="H30" s="30">
        <f>MIN(100,D30/5000)</f>
        <v/>
      </c>
      <c r="I30" s="30">
        <f>MIN(100,(E30/6)/4*100)</f>
        <v/>
      </c>
      <c r="J30" s="30">
        <f>F30</f>
        <v/>
      </c>
      <c r="K30" s="30">
        <f>MIN(100,G30/5*100)</f>
        <v/>
      </c>
      <c r="L30" s="30">
        <f>VLOOKUP(C30,'02_ZONAS'!$A$5:$E$31,5,FALSE)</f>
        <v/>
      </c>
      <c r="M30" s="21">
        <f>ROUND(H30*$B$5+I30*$B$6+J30*$B$7+K30*$B$8+L30*$B$9,0)</f>
        <v/>
      </c>
      <c r="N30" s="10" t="n">
        <v>30</v>
      </c>
      <c r="O30" s="21">
        <f>M30-N30</f>
        <v/>
      </c>
      <c r="P30" s="6" t="inlineStr">
        <is>
          <t>Nuevo</t>
        </is>
      </c>
    </row>
    <row r="31">
      <c r="A31" s="5" t="inlineStr">
        <is>
          <t>Restaurante Patio Peñalolén</t>
        </is>
      </c>
      <c r="B31" s="10" t="inlineStr">
        <is>
          <t>Restaurante</t>
        </is>
      </c>
      <c r="C31" s="10" t="inlineStr">
        <is>
          <t>Peñalolén</t>
        </is>
      </c>
      <c r="D31" s="29" t="n">
        <v>100222</v>
      </c>
      <c r="E31" s="11" t="n">
        <v>7</v>
      </c>
      <c r="F31" s="11" t="n">
        <v>43</v>
      </c>
      <c r="G31" s="11" t="n">
        <v>1</v>
      </c>
      <c r="H31" s="30">
        <f>MIN(100,D31/5000)</f>
        <v/>
      </c>
      <c r="I31" s="30">
        <f>MIN(100,(E31/6)/4*100)</f>
        <v/>
      </c>
      <c r="J31" s="30">
        <f>F31</f>
        <v/>
      </c>
      <c r="K31" s="30">
        <f>MIN(100,G31/5*100)</f>
        <v/>
      </c>
      <c r="L31" s="30">
        <f>VLOOKUP(C31,'02_ZONAS'!$A$5:$E$31,5,FALSE)</f>
        <v/>
      </c>
      <c r="M31" s="21">
        <f>ROUND(H31*$B$5+I31*$B$6+J31*$B$7+K31*$B$8+L31*$B$9,0)</f>
        <v/>
      </c>
      <c r="N31" s="10" t="n">
        <v>30</v>
      </c>
      <c r="O31" s="21">
        <f>M31-N31</f>
        <v/>
      </c>
      <c r="P31" s="6" t="inlineStr">
        <is>
          <t>Frecuente</t>
        </is>
      </c>
    </row>
    <row r="32">
      <c r="A32" s="7" t="inlineStr">
        <is>
          <t>Catering El Portal</t>
        </is>
      </c>
      <c r="B32" s="14" t="inlineStr">
        <is>
          <t>Eventos o catering</t>
        </is>
      </c>
      <c r="C32" s="14" t="inlineStr">
        <is>
          <t>San Miguel</t>
        </is>
      </c>
      <c r="D32" s="31" t="n">
        <v>97833</v>
      </c>
      <c r="E32" s="15" t="n">
        <v>5</v>
      </c>
      <c r="F32" s="15" t="n">
        <v>45</v>
      </c>
      <c r="G32" s="15" t="n">
        <v>1</v>
      </c>
      <c r="H32" s="32">
        <f>MIN(100,D32/5000)</f>
        <v/>
      </c>
      <c r="I32" s="32">
        <f>MIN(100,(E32/6)/4*100)</f>
        <v/>
      </c>
      <c r="J32" s="32">
        <f>F32</f>
        <v/>
      </c>
      <c r="K32" s="32">
        <f>MIN(100,G32/5*100)</f>
        <v/>
      </c>
      <c r="L32" s="32">
        <f>VLOOKUP(C32,'02_ZONAS'!$A$5:$E$31,5,FALSE)</f>
        <v/>
      </c>
      <c r="M32" s="22">
        <f>ROUND(H32*$B$5+I32*$B$6+J32*$B$7+K32*$B$8+L32*$B$9,0)</f>
        <v/>
      </c>
      <c r="N32" s="14" t="n">
        <v>28</v>
      </c>
      <c r="O32" s="22">
        <f>M32-N32</f>
        <v/>
      </c>
      <c r="P32" s="8" t="inlineStr">
        <is>
          <t>Frecuente</t>
        </is>
      </c>
    </row>
    <row r="33"/>
    <row r="34">
      <c r="A34" s="20" t="inlineStr">
        <is>
          <t>Tipo de cliente: Nuevo = primera compra en los últimos 90 días; Ocasional = 1 o 2 compras en 90 días; Frecuente = más de 2; Inactivo = sin compras en 90 días.</t>
        </is>
      </c>
    </row>
  </sheetData>
  <mergeCells count="1">
    <mergeCell ref="A2:P2"/>
  </mergeCell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L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2" customWidth="1" min="3" max="3"/>
    <col width="46" customWidth="1" min="4" max="4"/>
    <col width="9" customWidth="1" min="5" max="5"/>
    <col width="16" customWidth="1" min="6" max="6"/>
    <col width="22" customWidth="1" min="7" max="7"/>
    <col width="11" customWidth="1" min="8" max="8"/>
    <col width="16" customWidth="1" min="9" max="9"/>
    <col width="22" customWidth="1" min="10" max="10"/>
    <col width="26" customWidth="1" min="11" max="11"/>
    <col width="30" customWidth="1" min="12" max="12"/>
  </cols>
  <sheetData>
    <row r="1" ht="28" customHeight="1">
      <c r="A1" s="1" t="inlineStr">
        <is>
          <t>KPIs comerciales, operacionales, de inbound y de experiencia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Matriz propuesta. Ninguna cifra es resultado medido. Las metas académicas del caso se citan con su fuente [3]; el resto se fija tras levantar línea base.</t>
        </is>
      </c>
    </row>
    <row r="3"/>
    <row r="4" ht="30" customHeight="1">
      <c r="A4" s="4" t="inlineStr">
        <is>
          <t>ID</t>
        </is>
      </c>
      <c r="B4" s="4" t="inlineStr">
        <is>
          <t>KPI</t>
        </is>
      </c>
      <c r="C4" s="4" t="inlineStr">
        <is>
          <t>Tipo</t>
        </is>
      </c>
      <c r="D4" s="4" t="inlineStr">
        <is>
          <t>Fórmula</t>
        </is>
      </c>
      <c r="E4" s="4" t="inlineStr">
        <is>
          <t>Unidad</t>
        </is>
      </c>
      <c r="F4" s="4" t="inlineStr">
        <is>
          <t>Ventana / período</t>
        </is>
      </c>
      <c r="G4" s="4" t="inlineStr">
        <is>
          <t>Fuente de datos</t>
        </is>
      </c>
      <c r="H4" s="4" t="inlineStr">
        <is>
          <t>Frecuencia</t>
        </is>
      </c>
      <c r="I4" s="4" t="inlineStr">
        <is>
          <t>Responsable</t>
        </is>
      </c>
      <c r="J4" s="4" t="inlineStr">
        <is>
          <t>Línea base</t>
        </is>
      </c>
      <c r="K4" s="4" t="inlineStr">
        <is>
          <t>Umbral o meta propuesta</t>
        </is>
      </c>
      <c r="L4" s="4" t="inlineStr">
        <is>
          <t>Decisión que apoya</t>
        </is>
      </c>
    </row>
    <row r="5">
      <c r="A5" s="5" t="inlineStr">
        <is>
          <t>K01</t>
        </is>
      </c>
      <c r="B5" s="10" t="inlineStr">
        <is>
          <t>Tasa de acceso Empresas</t>
        </is>
      </c>
      <c r="C5" s="10" t="inlineStr">
        <is>
          <t>Captación</t>
        </is>
      </c>
      <c r="D5" s="10" t="inlineStr">
        <is>
          <t>Clics únicos en Empresas / sesiones del inicio × 100</t>
        </is>
      </c>
      <c r="E5" s="10" t="inlineStr">
        <is>
          <t>%</t>
        </is>
      </c>
      <c r="F5" s="10" t="inlineStr">
        <is>
          <t>Semanal</t>
        </is>
      </c>
      <c r="G5" s="10" t="inlineStr">
        <is>
          <t>Analítica web (eventos)</t>
        </is>
      </c>
      <c r="H5" s="10" t="inlineStr">
        <is>
          <t>Semanal</t>
        </is>
      </c>
      <c r="I5" s="10" t="inlineStr">
        <is>
          <t>Marketing</t>
        </is>
      </c>
      <c r="J5" s="10" t="inlineStr">
        <is>
          <t>[A LEVANTAR]</t>
        </is>
      </c>
      <c r="K5" s="10" t="inlineStr">
        <is>
          <t>Definir tras 4 semanas</t>
        </is>
      </c>
      <c r="L5" s="6" t="inlineStr">
        <is>
          <t>Ubicación y rótulo del acceso</t>
        </is>
      </c>
    </row>
    <row r="6">
      <c r="A6" s="5" t="inlineStr">
        <is>
          <t>K02</t>
        </is>
      </c>
      <c r="B6" s="10" t="inlineStr">
        <is>
          <t>Tasa de identificación</t>
        </is>
      </c>
      <c r="C6" s="10" t="inlineStr">
        <is>
          <t>Inbound</t>
        </is>
      </c>
      <c r="D6" s="10" t="inlineStr">
        <is>
          <t>Contactos con correo y permiso / sesiones que inician tus datos × 100</t>
        </is>
      </c>
      <c r="E6" s="10" t="inlineStr">
        <is>
          <t>%</t>
        </is>
      </c>
      <c r="F6" s="10" t="inlineStr">
        <is>
          <t>Semanal</t>
        </is>
      </c>
      <c r="G6" s="10" t="inlineStr">
        <is>
          <t>Eventos del formulario + consentimiento</t>
        </is>
      </c>
      <c r="H6" s="10" t="inlineStr">
        <is>
          <t>Semanal</t>
        </is>
      </c>
      <c r="I6" s="10" t="inlineStr">
        <is>
          <t>Marketing</t>
        </is>
      </c>
      <c r="J6" s="10" t="inlineStr">
        <is>
          <t>[A LEVANTAR]</t>
        </is>
      </c>
      <c r="K6" s="10" t="inlineStr">
        <is>
          <t>Definir tras 4 semanas</t>
        </is>
      </c>
      <c r="L6" s="6" t="inlineStr">
        <is>
          <t>Campos y explicación de uso</t>
        </is>
      </c>
    </row>
    <row r="7">
      <c r="A7" s="5" t="inlineStr">
        <is>
          <t>K03</t>
        </is>
      </c>
      <c r="B7" s="10" t="inlineStr">
        <is>
          <t>Finalización del diagnóstico</t>
        </is>
      </c>
      <c r="C7" s="10" t="inlineStr">
        <is>
          <t>Activación</t>
        </is>
      </c>
      <c r="D7" s="10" t="inlineStr">
        <is>
          <t>Sesiones que terminan los 3 pasos y ven su propuesta / sesiones que iniciaron × 100</t>
        </is>
      </c>
      <c r="E7" s="10" t="inlineStr">
        <is>
          <t>%</t>
        </is>
      </c>
      <c r="F7" s="10" t="inlineStr">
        <is>
          <t>Semanal</t>
        </is>
      </c>
      <c r="G7" s="10" t="inlineStr">
        <is>
          <t>Eventos del portal</t>
        </is>
      </c>
      <c r="H7" s="10" t="inlineStr">
        <is>
          <t>Semanal</t>
        </is>
      </c>
      <c r="I7" s="10" t="inlineStr">
        <is>
          <t>Marketing / UX</t>
        </is>
      </c>
      <c r="J7" s="10" t="inlineStr">
        <is>
          <t>[A LEVANTAR]</t>
        </is>
      </c>
      <c r="K7" s="10" t="inlineStr">
        <is>
          <t>Definir tras 4 semanas</t>
        </is>
      </c>
      <c r="L7" s="6" t="inlineStr">
        <is>
          <t>Orden y redacción de los pasos</t>
        </is>
      </c>
    </row>
    <row r="8">
      <c r="A8" s="5" t="inlineStr">
        <is>
          <t>K04</t>
        </is>
      </c>
      <c r="B8" s="10" t="inlineStr">
        <is>
          <t>Pedido de contacto humano</t>
        </is>
      </c>
      <c r="C8" s="10" t="inlineStr">
        <is>
          <t>Activación</t>
        </is>
      </c>
      <c r="D8" s="10" t="inlineStr">
        <is>
          <t>Contactos que aceptan o eligen chat, llamada, correo o WhatsApp / propuestas vistas × 100</t>
        </is>
      </c>
      <c r="E8" s="10" t="inlineStr">
        <is>
          <t>%</t>
        </is>
      </c>
      <c r="F8" s="10" t="inlineStr">
        <is>
          <t>Semanal</t>
        </is>
      </c>
      <c r="G8" s="10" t="inlineStr">
        <is>
          <t>CRM (R02)</t>
        </is>
      </c>
      <c r="H8" s="10" t="inlineStr">
        <is>
          <t>Semanal</t>
        </is>
      </c>
      <c r="I8" s="10" t="inlineStr">
        <is>
          <t>Ventas</t>
        </is>
      </c>
      <c r="J8" s="10" t="inlineStr">
        <is>
          <t>[A LEVANTAR]</t>
        </is>
      </c>
      <c r="K8" s="10" t="inlineStr">
        <is>
          <t>Definir tras 4 semanas</t>
        </is>
      </c>
      <c r="L8" s="6" t="inlineStr">
        <is>
          <t>Canal por defecto y disponibilidad</t>
        </is>
      </c>
    </row>
    <row r="9">
      <c r="A9" s="5" t="inlineStr">
        <is>
          <t>K05</t>
        </is>
      </c>
      <c r="B9" s="10" t="inlineStr">
        <is>
          <t>Primera respuesta humana en chat</t>
        </is>
      </c>
      <c r="C9" s="10" t="inlineStr">
        <is>
          <t>Servicio</t>
        </is>
      </c>
      <c r="D9" s="10" t="inlineStr">
        <is>
          <t>Mediana (primera respuesta de la ejecutiva − ingreso al chat), por zona</t>
        </is>
      </c>
      <c r="E9" s="10" t="inlineStr">
        <is>
          <t>min</t>
        </is>
      </c>
      <c r="F9" s="10" t="inlineStr">
        <is>
          <t>Diaria</t>
        </is>
      </c>
      <c r="G9" s="10" t="inlineStr">
        <is>
          <t>CRM (marcas de tiempo)</t>
        </is>
      </c>
      <c r="H9" s="10" t="inlineStr">
        <is>
          <t>Diaria</t>
        </is>
      </c>
      <c r="I9" s="10" t="inlineStr">
        <is>
          <t>Jefatura comercial</t>
        </is>
      </c>
      <c r="J9" s="10" t="inlineStr">
        <is>
          <t>[A LEVANTAR]</t>
        </is>
      </c>
      <c r="K9" s="10" t="inlineStr">
        <is>
          <t>≤ 5 min (hipótesis del equipo)</t>
        </is>
      </c>
      <c r="L9" s="6" t="inlineStr">
        <is>
          <t>Dotación por zona y horario</t>
        </is>
      </c>
    </row>
    <row r="10">
      <c r="A10" s="5" t="inlineStr">
        <is>
          <t>K06</t>
        </is>
      </c>
      <c r="B10" s="10" t="inlineStr">
        <is>
          <t>Llamadas en plazo</t>
        </is>
      </c>
      <c r="C10" s="10" t="inlineStr">
        <is>
          <t>Servicio</t>
        </is>
      </c>
      <c r="D10" s="10" t="inlineStr">
        <is>
          <t>Llamadas realizadas dentro de la hora o del plazo informado / llamadas pedidas × 100</t>
        </is>
      </c>
      <c r="E10" s="10" t="inlineStr">
        <is>
          <t>%</t>
        </is>
      </c>
      <c r="F10" s="10" t="inlineStr">
        <is>
          <t>Semanal</t>
        </is>
      </c>
      <c r="G10" s="10" t="inlineStr">
        <is>
          <t>CRM (cola de llamadas)</t>
        </is>
      </c>
      <c r="H10" s="10" t="inlineStr">
        <is>
          <t>Semanal</t>
        </is>
      </c>
      <c r="I10" s="10" t="inlineStr">
        <is>
          <t>Jefatura comercial</t>
        </is>
      </c>
      <c r="J10" s="10" t="inlineStr">
        <is>
          <t>[A LEVANTAR]</t>
        </is>
      </c>
      <c r="K10" s="10" t="inlineStr">
        <is>
          <t>Definir con capacidad real</t>
        </is>
      </c>
      <c r="L10" s="6" t="inlineStr">
        <is>
          <t>Reasignar entre zonas</t>
        </is>
      </c>
    </row>
    <row r="11">
      <c r="A11" s="5" t="inlineStr">
        <is>
          <t>K07</t>
        </is>
      </c>
      <c r="B11" s="10" t="inlineStr">
        <is>
          <t>Tasa MQL</t>
        </is>
      </c>
      <c r="C11" s="10" t="inlineStr">
        <is>
          <t>Calificación</t>
        </is>
      </c>
      <c r="D11" s="10" t="inlineStr">
        <is>
          <t>MQL / contactos identificados × 100, por zona</t>
        </is>
      </c>
      <c r="E11" s="10" t="inlineStr">
        <is>
          <t>%</t>
        </is>
      </c>
      <c r="F11" s="10" t="inlineStr">
        <is>
          <t>Mensual</t>
        </is>
      </c>
      <c r="G11" s="10" t="inlineStr">
        <is>
          <t>CRM + puntaje</t>
        </is>
      </c>
      <c r="H11" s="10" t="inlineStr">
        <is>
          <t>Mensual</t>
        </is>
      </c>
      <c r="I11" s="10" t="inlineStr">
        <is>
          <t>Marketing</t>
        </is>
      </c>
      <c r="J11" s="10" t="inlineStr">
        <is>
          <t>[A LEVANTAR]</t>
        </is>
      </c>
      <c r="K11" s="10" t="inlineStr">
        <is>
          <t>Definir tras calibrar</t>
        </is>
      </c>
      <c r="L11" s="6" t="inlineStr">
        <is>
          <t>Calibrar pesos y zonas</t>
        </is>
      </c>
    </row>
    <row r="12">
      <c r="A12" s="5" t="inlineStr">
        <is>
          <t>K08</t>
        </is>
      </c>
      <c r="B12" s="10" t="inlineStr">
        <is>
          <t>Tasa SQL</t>
        </is>
      </c>
      <c r="C12" s="10" t="inlineStr">
        <is>
          <t>Calificación</t>
        </is>
      </c>
      <c r="D12" s="10" t="inlineStr">
        <is>
          <t>SQL aceptados por una persona / MQL × 100, por zona</t>
        </is>
      </c>
      <c r="E12" s="10" t="inlineStr">
        <is>
          <t>%</t>
        </is>
      </c>
      <c r="F12" s="10" t="inlineStr">
        <is>
          <t>Mensual</t>
        </is>
      </c>
      <c r="G12" s="10" t="inlineStr">
        <is>
          <t>CRM</t>
        </is>
      </c>
      <c r="H12" s="10" t="inlineStr">
        <is>
          <t>Mensual</t>
        </is>
      </c>
      <c r="I12" s="10" t="inlineStr">
        <is>
          <t>Ventas</t>
        </is>
      </c>
      <c r="J12" s="10" t="inlineStr">
        <is>
          <t>[A LEVANTAR]</t>
        </is>
      </c>
      <c r="K12" s="10" t="inlineStr">
        <is>
          <t>Definir tras calibrar</t>
        </is>
      </c>
      <c r="L12" s="6" t="inlineStr">
        <is>
          <t>Calidad de leads por zona</t>
        </is>
      </c>
    </row>
    <row r="13">
      <c r="A13" s="5" t="inlineStr">
        <is>
          <t>K09</t>
        </is>
      </c>
      <c r="B13" s="10" t="inlineStr">
        <is>
          <t>Aceptación de propuesta</t>
        </is>
      </c>
      <c r="C13" s="10" t="inlineStr">
        <is>
          <t>Cierre</t>
        </is>
      </c>
      <c r="D13" s="10" t="inlineStr">
        <is>
          <t>Propuestas aceptadas / propuestas enviadas × 100; % ampliada</t>
        </is>
      </c>
      <c r="E13" s="10" t="inlineStr">
        <is>
          <t>%</t>
        </is>
      </c>
      <c r="F13" s="10" t="inlineStr">
        <is>
          <t>Mensual</t>
        </is>
      </c>
      <c r="G13" s="10" t="inlineStr">
        <is>
          <t>CRM (R08)</t>
        </is>
      </c>
      <c r="H13" s="10" t="inlineStr">
        <is>
          <t>Mensual</t>
        </is>
      </c>
      <c r="I13" s="10" t="inlineStr">
        <is>
          <t>Ventas</t>
        </is>
      </c>
      <c r="J13" s="10" t="inlineStr">
        <is>
          <t>[A LEVANTAR]</t>
        </is>
      </c>
      <c r="K13" s="10" t="inlineStr">
        <is>
          <t>Definir tras piloto</t>
        </is>
      </c>
      <c r="L13" s="6" t="inlineStr">
        <is>
          <t>Contenido de base y ampliada</t>
        </is>
      </c>
    </row>
    <row r="14">
      <c r="A14" s="5" t="inlineStr">
        <is>
          <t>K10</t>
        </is>
      </c>
      <c r="B14" s="10" t="inlineStr">
        <is>
          <t>Lead a cliente</t>
        </is>
      </c>
      <c r="C14" s="10" t="inlineStr">
        <is>
          <t>Cierre</t>
        </is>
      </c>
      <c r="D14" s="10" t="inlineStr">
        <is>
          <t>Clientes nuevos / leads de la cohorte × 100</t>
        </is>
      </c>
      <c r="E14" s="10" t="inlineStr">
        <is>
          <t>%</t>
        </is>
      </c>
      <c r="F14" s="10" t="inlineStr">
        <is>
          <t>Trimestral (cohorte)</t>
        </is>
      </c>
      <c r="G14" s="10" t="inlineStr">
        <is>
          <t>CRM + ventas</t>
        </is>
      </c>
      <c r="H14" s="10" t="inlineStr">
        <is>
          <t>Mensual</t>
        </is>
      </c>
      <c r="I14" s="10" t="inlineStr">
        <is>
          <t>Gerencia comercial</t>
        </is>
      </c>
      <c r="J14" s="10" t="inlineStr">
        <is>
          <t>12 % (supuesto académico [3])</t>
        </is>
      </c>
      <c r="K14" s="10" t="inlineStr">
        <is>
          <t>18 % (meta académica [3])</t>
        </is>
      </c>
      <c r="L14" s="6" t="inlineStr">
        <is>
          <t>Escalar o ajustar el MVP</t>
        </is>
      </c>
    </row>
    <row r="15">
      <c r="A15" s="5" t="inlineStr">
        <is>
          <t>K11</t>
        </is>
      </c>
      <c r="B15" s="10" t="inlineStr">
        <is>
          <t>Reposición digital</t>
        </is>
      </c>
      <c r="C15" s="10" t="inlineStr">
        <is>
          <t>Recompra</t>
        </is>
      </c>
      <c r="D15" s="10" t="inlineStr">
        <is>
          <t>Reposiciones por canal digital / reposiciones totales × 100</t>
        </is>
      </c>
      <c r="E15" s="10" t="inlineStr">
        <is>
          <t>%</t>
        </is>
      </c>
      <c r="F15" s="10" t="inlineStr">
        <is>
          <t>Mensual</t>
        </is>
      </c>
      <c r="G15" s="10" t="inlineStr">
        <is>
          <t>Pedidos + CRM</t>
        </is>
      </c>
      <c r="H15" s="10" t="inlineStr">
        <is>
          <t>Mensual</t>
        </is>
      </c>
      <c r="I15" s="10" t="inlineStr">
        <is>
          <t>Ejecutivos de cuenta</t>
        </is>
      </c>
      <c r="J15" s="10" t="inlineStr">
        <is>
          <t>18 % (supuesto académico [3])</t>
        </is>
      </c>
      <c r="K15" s="10" t="inlineStr">
        <is>
          <t>40 % a 12 meses (meta académica [3])</t>
        </is>
      </c>
      <c r="L15" s="6" t="inlineStr">
        <is>
          <t>Recompra en un toque y W7</t>
        </is>
      </c>
    </row>
    <row r="16">
      <c r="A16" s="5" t="inlineStr">
        <is>
          <t>K12</t>
        </is>
      </c>
      <c r="B16" s="10" t="inlineStr">
        <is>
          <t>Frecuencia de compra</t>
        </is>
      </c>
      <c r="C16" s="10" t="inlineStr">
        <is>
          <t>Recompra</t>
        </is>
      </c>
      <c r="D16" s="10" t="inlineStr">
        <is>
          <t>Promedio de días entre pedidos por cliente activo</t>
        </is>
      </c>
      <c r="E16" s="10" t="inlineStr">
        <is>
          <t>días</t>
        </is>
      </c>
      <c r="F16" s="10" t="inlineStr">
        <is>
          <t>Últimos 180 días</t>
        </is>
      </c>
      <c r="G16" s="10" t="inlineStr">
        <is>
          <t>Pedidos</t>
        </is>
      </c>
      <c r="H16" s="10" t="inlineStr">
        <is>
          <t>Mensual</t>
        </is>
      </c>
      <c r="I16" s="10" t="inlineStr">
        <is>
          <t>Ejecutivos de cuenta</t>
        </is>
      </c>
      <c r="J16" s="10" t="inlineStr">
        <is>
          <t>[A LEVANTAR]</t>
        </is>
      </c>
      <c r="K16" s="10" t="inlineStr">
        <is>
          <t>Bajar respecto de la línea base</t>
        </is>
      </c>
      <c r="L16" s="6" t="inlineStr">
        <is>
          <t>Momento de la recompra sugerida</t>
        </is>
      </c>
    </row>
    <row r="17">
      <c r="A17" s="5" t="inlineStr">
        <is>
          <t>K13</t>
        </is>
      </c>
      <c r="B17" s="10" t="inlineStr">
        <is>
          <t>Ticket promedio</t>
        </is>
      </c>
      <c r="C17" s="10" t="inlineStr">
        <is>
          <t>Comercial</t>
        </is>
      </c>
      <c r="D17" s="10" t="inlineStr">
        <is>
          <t>Ventas / pedidos, por tipo de cliente y zona</t>
        </is>
      </c>
      <c r="E17" s="10" t="inlineStr">
        <is>
          <t>CLP</t>
        </is>
      </c>
      <c r="F17" s="10" t="inlineStr">
        <is>
          <t>Mensual</t>
        </is>
      </c>
      <c r="G17" s="10" t="inlineStr">
        <is>
          <t>ERP / pedidos</t>
        </is>
      </c>
      <c r="H17" s="10" t="inlineStr">
        <is>
          <t>Mensual</t>
        </is>
      </c>
      <c r="I17" s="10" t="inlineStr">
        <is>
          <t>Gerencia comercial</t>
        </is>
      </c>
      <c r="J17" s="10" t="inlineStr">
        <is>
          <t>[A LEVANTAR con el ERP]</t>
        </is>
      </c>
      <c r="K17" s="10" t="inlineStr">
        <is>
          <t>Definir con finanzas</t>
        </is>
      </c>
      <c r="L17" s="6" t="inlineStr">
        <is>
          <t>Ampliada y prioridad de zona</t>
        </is>
      </c>
    </row>
    <row r="18">
      <c r="A18" s="5" t="inlineStr">
        <is>
          <t>K14</t>
        </is>
      </c>
      <c r="B18" s="10" t="inlineStr">
        <is>
          <t>Clientes activos y tipo</t>
        </is>
      </c>
      <c r="C18" s="10" t="inlineStr">
        <is>
          <t>Comercial</t>
        </is>
      </c>
      <c r="D18" s="10" t="inlineStr">
        <is>
          <t>Clientes con compra en 90 días; % nuevos, ocasionales y frecuentes</t>
        </is>
      </c>
      <c r="E18" s="10" t="inlineStr">
        <is>
          <t>n, %</t>
        </is>
      </c>
      <c r="F18" s="10" t="inlineStr">
        <is>
          <t>Ventana móvil 90 días</t>
        </is>
      </c>
      <c r="G18" s="10" t="inlineStr">
        <is>
          <t>Pedidos</t>
        </is>
      </c>
      <c r="H18" s="10" t="inlineStr">
        <is>
          <t>Semanal</t>
        </is>
      </c>
      <c r="I18" s="10" t="inlineStr">
        <is>
          <t>Jefatura</t>
        </is>
      </c>
      <c r="J18" s="10" t="inlineStr">
        <is>
          <t>[A LEVANTAR]</t>
        </is>
      </c>
      <c r="K18" s="10" t="inlineStr">
        <is>
          <t>Definir con finanzas</t>
        </is>
      </c>
      <c r="L18" s="6" t="inlineStr">
        <is>
          <t>Foco del panel de jefatura</t>
        </is>
      </c>
    </row>
    <row r="19">
      <c r="A19" s="5" t="inlineStr">
        <is>
          <t>K15</t>
        </is>
      </c>
      <c r="B19" s="10" t="inlineStr">
        <is>
          <t>Referidos convertidos</t>
        </is>
      </c>
      <c r="C19" s="10" t="inlineStr">
        <is>
          <t>Comercial</t>
        </is>
      </c>
      <c r="D19" s="10" t="inlineStr">
        <is>
          <t>Clientes nuevos con código de referido / leads referidos calificados × 100</t>
        </is>
      </c>
      <c r="E19" s="10" t="inlineStr">
        <is>
          <t>%</t>
        </is>
      </c>
      <c r="F19" s="10" t="inlineStr">
        <is>
          <t>Trimestral</t>
        </is>
      </c>
      <c r="G19" s="10" t="inlineStr">
        <is>
          <t>CRM + códigos</t>
        </is>
      </c>
      <c r="H19" s="10" t="inlineStr">
        <is>
          <t>Mensual</t>
        </is>
      </c>
      <c r="I19" s="10" t="inlineStr">
        <is>
          <t>Marketing</t>
        </is>
      </c>
      <c r="J19" s="10" t="inlineStr">
        <is>
          <t>[A LEVANTAR]</t>
        </is>
      </c>
      <c r="K19" s="10" t="inlineStr">
        <is>
          <t>Definir tras piloto</t>
        </is>
      </c>
      <c r="L19" s="6" t="inlineStr">
        <is>
          <t>Mantener o ajustar beneficio</t>
        </is>
      </c>
    </row>
    <row r="20">
      <c r="A20" s="5" t="inlineStr">
        <is>
          <t>K16</t>
        </is>
      </c>
      <c r="B20" s="10" t="inlineStr">
        <is>
          <t>OTIF</t>
        </is>
      </c>
      <c r="C20" s="10" t="inlineStr">
        <is>
          <t>Operación</t>
        </is>
      </c>
      <c r="D20" s="10" t="inlineStr">
        <is>
          <t>Pedidos completos entregados en la fecha comprometida / pedidos con fecha comprometida × 100</t>
        </is>
      </c>
      <c r="E20" s="10" t="inlineStr">
        <is>
          <t>%</t>
        </is>
      </c>
      <c r="F20" s="10" t="inlineStr">
        <is>
          <t>Semanal</t>
        </is>
      </c>
      <c r="G20" s="10" t="inlineStr">
        <is>
          <t>OMS/ERP + logística</t>
        </is>
      </c>
      <c r="H20" s="10" t="inlineStr">
        <is>
          <t>Semanal</t>
        </is>
      </c>
      <c r="I20" s="10" t="inlineStr">
        <is>
          <t>Logística</t>
        </is>
      </c>
      <c r="J20" s="10" t="inlineStr">
        <is>
          <t>[A LEVANTAR]</t>
        </is>
      </c>
      <c r="K20" s="10" t="inlineStr">
        <is>
          <t>Definir con logística</t>
        </is>
      </c>
      <c r="L20" s="6" t="inlineStr">
        <is>
          <t>Capacidad de prometer fechas</t>
        </is>
      </c>
    </row>
    <row r="21">
      <c r="A21" s="5" t="inlineStr">
        <is>
          <t>K17</t>
        </is>
      </c>
      <c r="B21" s="10" t="inlineStr">
        <is>
          <t>Lead time de despacho</t>
        </is>
      </c>
      <c r="C21" s="10" t="inlineStr">
        <is>
          <t>Operación</t>
        </is>
      </c>
      <c r="D21" s="10" t="inlineStr">
        <is>
          <t>Mediana (entrega − confirmación del pedido), por ruta y zona</t>
        </is>
      </c>
      <c r="E21" s="10" t="inlineStr">
        <is>
          <t>días</t>
        </is>
      </c>
      <c r="F21" s="10" t="inlineStr">
        <is>
          <t>Semanal</t>
        </is>
      </c>
      <c r="G21" s="10" t="inlineStr">
        <is>
          <t>OMS + transporte</t>
        </is>
      </c>
      <c r="H21" s="10" t="inlineStr">
        <is>
          <t>Semanal</t>
        </is>
      </c>
      <c r="I21" s="10" t="inlineStr">
        <is>
          <t>Logística</t>
        </is>
      </c>
      <c r="J21" s="10" t="inlineStr">
        <is>
          <t>[A LEVANTAR]</t>
        </is>
      </c>
      <c r="K21" s="10" t="inlineStr">
        <is>
          <t>Definir por zona</t>
        </is>
      </c>
      <c r="L21" s="6" t="inlineStr">
        <is>
          <t>Ventanas de ruta por zona</t>
        </is>
      </c>
    </row>
    <row r="22">
      <c r="A22" s="5" t="inlineStr">
        <is>
          <t>K18</t>
        </is>
      </c>
      <c r="B22" s="10" t="inlineStr">
        <is>
          <t>Quiebre de stock HORECA</t>
        </is>
      </c>
      <c r="C22" s="10" t="inlineStr">
        <is>
          <t>Operación</t>
        </is>
      </c>
      <c r="D22" s="10" t="inlineStr">
        <is>
          <t>SKU HORECA con stock 0 / SKU HORECA activos × 100</t>
        </is>
      </c>
      <c r="E22" s="10" t="inlineStr">
        <is>
          <t>%</t>
        </is>
      </c>
      <c r="F22" s="10" t="inlineStr">
        <is>
          <t>Diaria</t>
        </is>
      </c>
      <c r="G22" s="10" t="inlineStr">
        <is>
          <t>Inventario</t>
        </is>
      </c>
      <c r="H22" s="10" t="inlineStr">
        <is>
          <t>Diaria</t>
        </is>
      </c>
      <c r="I22" s="10" t="inlineStr">
        <is>
          <t>Logística</t>
        </is>
      </c>
      <c r="J22" s="10" t="inlineStr">
        <is>
          <t>[A LEVANTAR]</t>
        </is>
      </c>
      <c r="K22" s="10" t="inlineStr">
        <is>
          <t>Definir con inventario</t>
        </is>
      </c>
      <c r="L22" s="6" t="inlineStr">
        <is>
          <t>Sustitutos y propuesta</t>
        </is>
      </c>
    </row>
    <row r="23">
      <c r="A23" s="5" t="inlineStr">
        <is>
          <t>K19</t>
        </is>
      </c>
      <c r="B23" s="10" t="inlineStr">
        <is>
          <t>Fill rate</t>
        </is>
      </c>
      <c r="C23" s="10" t="inlineStr">
        <is>
          <t>Operación</t>
        </is>
      </c>
      <c r="D23" s="10" t="inlineStr">
        <is>
          <t>Unidades entregadas / unidades pedidas × 100</t>
        </is>
      </c>
      <c r="E23" s="10" t="inlineStr">
        <is>
          <t>%</t>
        </is>
      </c>
      <c r="F23" s="10" t="inlineStr">
        <is>
          <t>Semanal</t>
        </is>
      </c>
      <c r="G23" s="10" t="inlineStr">
        <is>
          <t>OMS</t>
        </is>
      </c>
      <c r="H23" s="10" t="inlineStr">
        <is>
          <t>Semanal</t>
        </is>
      </c>
      <c r="I23" s="10" t="inlineStr">
        <is>
          <t>Logística</t>
        </is>
      </c>
      <c r="J23" s="10" t="inlineStr">
        <is>
          <t>[A LEVANTAR]</t>
        </is>
      </c>
      <c r="K23" s="10" t="inlineStr">
        <is>
          <t>Definir con logística</t>
        </is>
      </c>
      <c r="L23" s="6" t="inlineStr">
        <is>
          <t>Exactitud de preparación</t>
        </is>
      </c>
    </row>
    <row r="24">
      <c r="A24" s="5" t="inlineStr">
        <is>
          <t>K20</t>
        </is>
      </c>
      <c r="B24" s="10" t="inlineStr">
        <is>
          <t>Costo de despacho por pedido y zona</t>
        </is>
      </c>
      <c r="C24" s="10" t="inlineStr">
        <is>
          <t>Operación</t>
        </is>
      </c>
      <c r="D24" s="10" t="inlineStr">
        <is>
          <t>Costo de ruta / pedidos entregados en esa ruta</t>
        </is>
      </c>
      <c r="E24" s="10" t="inlineStr">
        <is>
          <t>CLP</t>
        </is>
      </c>
      <c r="F24" s="10" t="inlineStr">
        <is>
          <t>Mensual</t>
        </is>
      </c>
      <c r="G24" s="10" t="inlineStr">
        <is>
          <t>Transporte + finanzas</t>
        </is>
      </c>
      <c r="H24" s="10" t="inlineStr">
        <is>
          <t>Mensual</t>
        </is>
      </c>
      <c r="I24" s="10" t="inlineStr">
        <is>
          <t>Logística / finanzas</t>
        </is>
      </c>
      <c r="J24" s="10" t="inlineStr">
        <is>
          <t>[A LEVANTAR]</t>
        </is>
      </c>
      <c r="K24" s="10" t="inlineStr">
        <is>
          <t>Definir con finanzas</t>
        </is>
      </c>
      <c r="L24" s="6" t="inlineStr">
        <is>
          <t>Calibrar potencial de zona (Financial)</t>
        </is>
      </c>
    </row>
    <row r="25">
      <c r="A25" s="5" t="inlineStr">
        <is>
          <t>K21</t>
        </is>
      </c>
      <c r="B25" s="10" t="inlineStr">
        <is>
          <t>Primera respuesta de postventa</t>
        </is>
      </c>
      <c r="C25" s="10" t="inlineStr">
        <is>
          <t>Operación</t>
        </is>
      </c>
      <c r="D25" s="10" t="inlineStr">
        <is>
          <t>Mediana (primera respuesta − creación del ticket), por criticidad</t>
        </is>
      </c>
      <c r="E25" s="10" t="inlineStr">
        <is>
          <t>h</t>
        </is>
      </c>
      <c r="F25" s="10" t="inlineStr">
        <is>
          <t>Semanal</t>
        </is>
      </c>
      <c r="G25" s="10" t="inlineStr">
        <is>
          <t>Tickets</t>
        </is>
      </c>
      <c r="H25" s="10" t="inlineStr">
        <is>
          <t>Semanal</t>
        </is>
      </c>
      <c r="I25" s="10" t="inlineStr">
        <is>
          <t>Postventa</t>
        </is>
      </c>
      <c r="J25" s="10" t="inlineStr">
        <is>
          <t>[A LEVANTAR]</t>
        </is>
      </c>
      <c r="K25" s="10" t="inlineStr">
        <is>
          <t>Definir con servicio</t>
        </is>
      </c>
      <c r="L25" s="6" t="inlineStr">
        <is>
          <t>Dotación y escalamiento</t>
        </is>
      </c>
    </row>
    <row r="26">
      <c r="A26" s="5" t="inlineStr">
        <is>
          <t>K22</t>
        </is>
      </c>
      <c r="B26" s="10" t="inlineStr">
        <is>
          <t>Éxito de tarea (test)</t>
        </is>
      </c>
      <c r="C26" s="10" t="inlineStr">
        <is>
          <t>Experiencia</t>
        </is>
      </c>
      <c r="D26" s="10" t="inlineStr">
        <is>
          <t>Tareas completadas sin ayuda / tareas intentadas × 100 (08_TEST_REGISTRO)</t>
        </is>
      </c>
      <c r="E26" s="10" t="inlineStr">
        <is>
          <t>%</t>
        </is>
      </c>
      <c r="F26" s="10" t="inlineStr">
        <is>
          <t>Por ronda de test</t>
        </is>
      </c>
      <c r="G26" s="10" t="inlineStr">
        <is>
          <t>Registro de moderación</t>
        </is>
      </c>
      <c r="H26" s="10" t="inlineStr">
        <is>
          <t>Por ronda</t>
        </is>
      </c>
      <c r="I26" s="10" t="inlineStr">
        <is>
          <t>Equipo UX</t>
        </is>
      </c>
      <c r="J26" s="10" t="inlineStr">
        <is>
          <t>Ronda 1 (15-10): sitio 33 %; CRM 50 %</t>
        </is>
      </c>
      <c r="K26" s="10" t="inlineStr">
        <is>
          <t>≥ 80 % (criterio del equipo)</t>
        </is>
      </c>
      <c r="L26" s="6" t="inlineStr">
        <is>
          <t>Corregir o mantener pantallas</t>
        </is>
      </c>
    </row>
    <row r="27">
      <c r="A27" s="5" t="inlineStr">
        <is>
          <t>K23</t>
        </is>
      </c>
      <c r="B27" s="10" t="inlineStr">
        <is>
          <t>Facilidad por tarea (SEQ)</t>
        </is>
      </c>
      <c r="C27" s="10" t="inlineStr">
        <is>
          <t>Experiencia</t>
        </is>
      </c>
      <c r="D27" s="10" t="inlineStr">
        <is>
          <t>Promedio de la pregunta única de facilidad (1–7) por tarea</t>
        </is>
      </c>
      <c r="E27" s="10" t="inlineStr">
        <is>
          <t>1–7</t>
        </is>
      </c>
      <c r="F27" s="10" t="inlineStr">
        <is>
          <t>Por ronda</t>
        </is>
      </c>
      <c r="G27" s="10" t="inlineStr">
        <is>
          <t>Registro de moderación</t>
        </is>
      </c>
      <c r="H27" s="10" t="inlineStr">
        <is>
          <t>Por ronda</t>
        </is>
      </c>
      <c r="I27" s="10" t="inlineStr">
        <is>
          <t>Equipo UX</t>
        </is>
      </c>
      <c r="J27" s="10" t="inlineStr">
        <is>
          <t>Ronda 1 (15-10): sitio 5,7; CRM 3,5</t>
        </is>
      </c>
      <c r="K27" s="10" t="inlineStr">
        <is>
          <t>≥ 5,5 (criterio del equipo)</t>
        </is>
      </c>
      <c r="L27" s="6" t="inlineStr">
        <is>
          <t>Priorizar fricciones</t>
        </is>
      </c>
    </row>
    <row r="28">
      <c r="A28" s="5" t="inlineStr">
        <is>
          <t>K24</t>
        </is>
      </c>
      <c r="B28" s="10" t="inlineStr">
        <is>
          <t>SUS</t>
        </is>
      </c>
      <c r="C28" s="10" t="inlineStr">
        <is>
          <t>Experiencia</t>
        </is>
      </c>
      <c r="D28" s="10" t="inlineStr">
        <is>
          <t>Puntaje SUS 0–100 por participante (09_SUS)</t>
        </is>
      </c>
      <c r="E28" s="10" t="inlineStr">
        <is>
          <t>0–100</t>
        </is>
      </c>
      <c r="F28" s="10" t="inlineStr">
        <is>
          <t>Por ronda</t>
        </is>
      </c>
      <c r="G28" s="10" t="inlineStr">
        <is>
          <t>Cuestionario SUS</t>
        </is>
      </c>
      <c r="H28" s="10" t="inlineStr">
        <is>
          <t>Por ronda</t>
        </is>
      </c>
      <c r="I28" s="10" t="inlineStr">
        <is>
          <t>Equipo UX</t>
        </is>
      </c>
      <c r="J28" s="10" t="inlineStr">
        <is>
          <t>Ronda 1 (15-10): clientes 61,7; equipo 40,0</t>
        </is>
      </c>
      <c r="K28" s="10" t="inlineStr">
        <is>
          <t>≥ 68 (promedio de referencia, Sauro 2011 [24])</t>
        </is>
      </c>
      <c r="L28" s="6" t="inlineStr">
        <is>
          <t>Usabilidad general</t>
        </is>
      </c>
    </row>
    <row r="29">
      <c r="A29" s="5" t="inlineStr">
        <is>
          <t>K25</t>
        </is>
      </c>
      <c r="B29" s="10" t="inlineStr">
        <is>
          <t>Días de cobro (DSO)</t>
        </is>
      </c>
      <c r="C29" s="10" t="inlineStr">
        <is>
          <t>Finanzas</t>
        </is>
      </c>
      <c r="D29" s="10" t="inlineStr">
        <is>
          <t>(Cuentas por cobrar ÷ ventas a crédito) × 365, cuentas HORECA</t>
        </is>
      </c>
      <c r="E29" s="10" t="inlineStr">
        <is>
          <t>días</t>
        </is>
      </c>
      <c r="F29" s="10" t="inlineStr">
        <is>
          <t>Mensual</t>
        </is>
      </c>
      <c r="G29" s="10" t="inlineStr">
        <is>
          <t>ERP</t>
        </is>
      </c>
      <c r="H29" s="10" t="inlineStr">
        <is>
          <t>Mensual</t>
        </is>
      </c>
      <c r="I29" s="10" t="inlineStr">
        <is>
          <t>Finanzas</t>
        </is>
      </c>
      <c r="J29" s="10" t="inlineStr">
        <is>
          <t>[A LEVANTAR]</t>
        </is>
      </c>
      <c r="K29" s="10" t="inlineStr">
        <is>
          <t>Bajar respecto de la línea base sin cambiar plazos</t>
        </is>
      </c>
      <c r="L29" s="6" t="inlineStr">
        <is>
          <t>Calidad del alta y la facturación</t>
        </is>
      </c>
    </row>
    <row r="30">
      <c r="A30" s="5" t="inlineStr">
        <is>
          <t>K26</t>
        </is>
      </c>
      <c r="B30" s="10" t="inlineStr">
        <is>
          <t>Pedidos con datos tributarios completos</t>
        </is>
      </c>
      <c r="C30" s="10" t="inlineStr">
        <is>
          <t>Finanzas</t>
        </is>
      </c>
      <c r="D30" s="10" t="inlineStr">
        <is>
          <t>Pedidos con RUT, giro, orden de compra y sucursal válidos / pedidos × 100</t>
        </is>
      </c>
      <c r="E30" s="10" t="inlineStr">
        <is>
          <t>%</t>
        </is>
      </c>
      <c r="F30" s="10" t="inlineStr">
        <is>
          <t>Semanal</t>
        </is>
      </c>
      <c r="G30" s="10" t="inlineStr">
        <is>
          <t>VTEX B2B + ERP</t>
        </is>
      </c>
      <c r="H30" s="10" t="inlineStr">
        <is>
          <t>Semanal</t>
        </is>
      </c>
      <c r="I30" s="10" t="inlineStr">
        <is>
          <t>Finanzas / ventas</t>
        </is>
      </c>
      <c r="J30" s="10" t="inlineStr">
        <is>
          <t>[A LEVANTAR]</t>
        </is>
      </c>
      <c r="K30" s="10" t="inlineStr">
        <is>
          <t>≥ 95 % (criterio del equipo)</t>
        </is>
      </c>
      <c r="L30" s="6" t="inlineStr">
        <is>
          <t>Menos facturas rechazadas o corregidas</t>
        </is>
      </c>
    </row>
    <row r="31">
      <c r="A31" s="5" t="inlineStr">
        <is>
          <t>K27</t>
        </is>
      </c>
      <c r="B31" s="10" t="inlineStr">
        <is>
          <t>Retención de clientes y NRR</t>
        </is>
      </c>
      <c r="C31" s="10" t="inlineStr">
        <is>
          <t>Comercial</t>
        </is>
      </c>
      <c r="D31" s="10" t="inlineStr">
        <is>
          <t>Clientes que siguen comprando / clientes al inicio × 100; NRR = (ingreso inicial + expansión − pérdida) ÷ ingreso inicial</t>
        </is>
      </c>
      <c r="E31" s="10" t="inlineStr">
        <is>
          <t>%</t>
        </is>
      </c>
      <c r="F31" s="10" t="inlineStr">
        <is>
          <t>Anual (cohorte)</t>
        </is>
      </c>
      <c r="G31" s="10" t="inlineStr">
        <is>
          <t>ERP + CRM</t>
        </is>
      </c>
      <c r="H31" s="10" t="inlineStr">
        <is>
          <t>Trimestral</t>
        </is>
      </c>
      <c r="I31" s="10" t="inlineStr">
        <is>
          <t>Gerencia comercial</t>
        </is>
      </c>
      <c r="J31" s="10" t="inlineStr">
        <is>
          <t>Retención 86 % (supuesto académico [3])</t>
        </is>
      </c>
      <c r="K31" s="10" t="inlineStr">
        <is>
          <t>Retención 90 % (meta académica [3]); NRR ≥ 100 %</t>
        </is>
      </c>
      <c r="L31" s="6" t="inlineStr">
        <is>
          <t>Peso de LM4, LM5 y LM6</t>
        </is>
      </c>
    </row>
    <row r="32">
      <c r="A32" s="5" t="inlineStr">
        <is>
          <t>K28</t>
        </is>
      </c>
      <c r="B32" s="10" t="inlineStr">
        <is>
          <t>LTV / CAC y recupero de CAC</t>
        </is>
      </c>
      <c r="C32" s="10" t="inlineStr">
        <is>
          <t>Finanzas</t>
        </is>
      </c>
      <c r="D32" s="10" t="inlineStr">
        <is>
          <t>LTV = contribución anual × (1 ÷ churn); recupero = CAC ÷ contribución mensual (ver 16_ECONOMIA_UNITARIA)</t>
        </is>
      </c>
      <c r="E32" s="10" t="inlineStr">
        <is>
          <t>veces, meses</t>
        </is>
      </c>
      <c r="F32" s="10" t="inlineStr">
        <is>
          <t>Por cohorte</t>
        </is>
      </c>
      <c r="G32" s="10" t="inlineStr">
        <is>
          <t>ERP + finanzas + CRM</t>
        </is>
      </c>
      <c r="H32" s="10" t="inlineStr">
        <is>
          <t>Trimestral</t>
        </is>
      </c>
      <c r="I32" s="10" t="inlineStr">
        <is>
          <t>Finanzas</t>
        </is>
      </c>
      <c r="J32" s="10" t="inlineStr">
        <is>
          <t>[A LEVANTAR]</t>
        </is>
      </c>
      <c r="K32" s="10" t="inlineStr">
        <is>
          <t>Definir con finanzas</t>
        </is>
      </c>
      <c r="L32" s="6" t="inlineStr">
        <is>
          <t>Escalar o detener el piloto</t>
        </is>
      </c>
    </row>
    <row r="33">
      <c r="A33" s="5" t="inlineStr">
        <is>
          <t>K29</t>
        </is>
      </c>
      <c r="B33" s="10" t="inlineStr">
        <is>
          <t>Integraciones automáticas</t>
        </is>
      </c>
      <c r="C33" s="10" t="inlineStr">
        <is>
          <t>Operación</t>
        </is>
      </c>
      <c r="D33" s="10" t="inlineStr">
        <is>
          <t>Fuentes y llamadas que se actualizan sin carga manual / total × 100; llamadas exitosas / llamadas por sistema</t>
        </is>
      </c>
      <c r="E33" s="10" t="inlineStr">
        <is>
          <t>%</t>
        </is>
      </c>
      <c r="F33" s="10" t="inlineStr">
        <is>
          <t>Semanal</t>
        </is>
      </c>
      <c r="G33" s="10" t="inlineStr">
        <is>
          <t>Registro de la capa de integración</t>
        </is>
      </c>
      <c r="H33" s="10" t="inlineStr">
        <is>
          <t>Semanal</t>
        </is>
      </c>
      <c r="I33" s="10" t="inlineStr">
        <is>
          <t>Datos / TI</t>
        </is>
      </c>
      <c r="J33" s="10" t="inlineStr">
        <is>
          <t>~30 % de fuentes automáticas (supuesto académico [3])</t>
        </is>
      </c>
      <c r="K33" s="10" t="inlineStr">
        <is>
          <t>Subir mes a mes en el piloto</t>
        </is>
      </c>
      <c r="L33" s="6" t="inlineStr">
        <is>
          <t>Prioridad de conexión por sistema</t>
        </is>
      </c>
    </row>
    <row r="34">
      <c r="A34" s="5" t="inlineStr">
        <is>
          <t>K30</t>
        </is>
      </c>
      <c r="B34" s="10" t="inlineStr">
        <is>
          <t>Amplitud por cuenta</t>
        </is>
      </c>
      <c r="C34" s="10" t="inlineStr">
        <is>
          <t>Comercial</t>
        </is>
      </c>
      <c r="D34" s="10" t="inlineStr">
        <is>
          <t>Categorías distintas compradas / categorías disponibles, por cuenta y período</t>
        </is>
      </c>
      <c r="E34" s="10" t="inlineStr">
        <is>
          <t>n, %</t>
        </is>
      </c>
      <c r="F34" s="10" t="inlineStr">
        <is>
          <t>Ventana móvil 90 días</t>
        </is>
      </c>
      <c r="G34" s="10" t="inlineStr">
        <is>
          <t>ERP / pedidos</t>
        </is>
      </c>
      <c r="H34" s="10" t="inlineStr">
        <is>
          <t>Mensual</t>
        </is>
      </c>
      <c r="I34" s="10" t="inlineStr">
        <is>
          <t>Gerencia comercial</t>
        </is>
      </c>
      <c r="J34" s="10" t="inlineStr">
        <is>
          <t>[A LEVANTAR con el ERP]</t>
        </is>
      </c>
      <c r="K34" s="10" t="inlineStr">
        <is>
          <t>Subir respecto de la línea base sin bajar el margen</t>
        </is>
      </c>
      <c r="L34" s="6" t="inlineStr">
        <is>
          <t>Venta cruzada (LM4) y rol de cada producto</t>
        </is>
      </c>
    </row>
    <row r="35">
      <c r="A35" s="5" t="inlineStr">
        <is>
          <t>K31</t>
        </is>
      </c>
      <c r="B35" s="10" t="inlineStr">
        <is>
          <t>Margen por cuenta</t>
        </is>
      </c>
      <c r="C35" s="10" t="inlineStr">
        <is>
          <t>Comercial</t>
        </is>
      </c>
      <c r="D35" s="10" t="inlineStr">
        <is>
          <t>Margen bruto de la cuenta / ventas de la cuenta × 100, por tipo de cliente y zona</t>
        </is>
      </c>
      <c r="E35" s="10" t="inlineStr">
        <is>
          <t>%</t>
        </is>
      </c>
      <c r="F35" s="10" t="inlineStr">
        <is>
          <t>Mensual</t>
        </is>
      </c>
      <c r="G35" s="10" t="inlineStr">
        <is>
          <t>ERP + costos</t>
        </is>
      </c>
      <c r="H35" s="10" t="inlineStr">
        <is>
          <t>Mensual</t>
        </is>
      </c>
      <c r="I35" s="10" t="inlineStr">
        <is>
          <t>Finanzas</t>
        </is>
      </c>
      <c r="J35" s="10" t="inlineStr">
        <is>
          <t>[A LEVANTAR con el ERP]</t>
        </is>
      </c>
      <c r="K35" s="10" t="inlineStr">
        <is>
          <t>Mantenerlo o subirlo al ampliar la propuesta</t>
        </is>
      </c>
      <c r="L35" s="6" t="inlineStr">
        <is>
          <t>Contenido de la propuesta básica y ampliada</t>
        </is>
      </c>
    </row>
    <row r="36">
      <c r="A36" s="7" t="inlineStr">
        <is>
          <t>K32</t>
        </is>
      </c>
      <c r="B36" s="14" t="inlineStr">
        <is>
          <t>Reposiciones manuales</t>
        </is>
      </c>
      <c r="C36" s="14" t="inlineStr">
        <is>
          <t>Recompra</t>
        </is>
      </c>
      <c r="D36" s="14" t="inlineStr">
        <is>
          <t>Reposiciones pedidas por ejecutiva, correo o mensaje / reposiciones totales × 100</t>
        </is>
      </c>
      <c r="E36" s="14" t="inlineStr">
        <is>
          <t>%</t>
        </is>
      </c>
      <c r="F36" s="14" t="inlineStr">
        <is>
          <t>Mensual</t>
        </is>
      </c>
      <c r="G36" s="14" t="inlineStr">
        <is>
          <t>CRM + pedidos</t>
        </is>
      </c>
      <c r="H36" s="14" t="inlineStr">
        <is>
          <t>Mensual</t>
        </is>
      </c>
      <c r="I36" s="14" t="inlineStr">
        <is>
          <t>Ejecutivos de cuenta</t>
        </is>
      </c>
      <c r="J36" s="14" t="inlineStr">
        <is>
          <t>82 % (supuesto académico [3])</t>
        </is>
      </c>
      <c r="K36" s="14" t="inlineStr">
        <is>
          <t>Bajarlo respecto del 82 % con la reposición en un toque</t>
        </is>
      </c>
      <c r="L36" s="8" t="inlineStr">
        <is>
          <t>W7, aviso por frecuencia y portal Mi cuenta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L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4" customWidth="1" min="4" max="4"/>
    <col width="22" customWidth="1" min="5" max="5"/>
    <col width="24" customWidth="1" min="6" max="6"/>
    <col width="10" customWidth="1" min="7" max="7"/>
    <col width="12" customWidth="1" min="8" max="8"/>
    <col width="38" customWidth="1" min="9" max="9"/>
    <col width="26" customWidth="1" min="10" max="10"/>
    <col width="8" customWidth="1" min="11" max="11"/>
    <col width="22" customWidth="1" min="12" max="12"/>
  </cols>
  <sheetData>
    <row r="1" ht="28" customHeight="1">
      <c r="A1" s="1" t="inlineStr">
        <is>
          <t>Workflows de inbound automatizado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6" customHeight="1">
      <c r="A2" s="3" t="inlineStr">
        <is>
          <t>Adaptados del Anexo B (W1–W9, fuentes M1, M2, P1 y P2) al recorrido v6.1 (15-10: los datos básicos se piden al principio, antes del diagnóstico; si la persona abandona, W4 la recupera). Regla: un canal a la vez y solo con permiso; la toma humana pausa las secuencias.</t>
        </is>
      </c>
    </row>
    <row r="3"/>
    <row r="4" ht="36" customHeight="1">
      <c r="A4" s="4" t="inlineStr">
        <is>
          <t>ID</t>
        </is>
      </c>
      <c r="B4" s="4" t="inlineStr">
        <is>
          <t>Nombre</t>
        </is>
      </c>
      <c r="C4" s="4" t="inlineStr">
        <is>
          <t>Segmento</t>
        </is>
      </c>
      <c r="D4" s="4" t="inlineStr">
        <is>
          <t>Etapa del funnel</t>
        </is>
      </c>
      <c r="E4" s="4" t="inlineStr">
        <is>
          <t>Gatillador (evento)</t>
        </is>
      </c>
      <c r="F4" s="4" t="inlineStr">
        <is>
          <t>Condición</t>
        </is>
      </c>
      <c r="G4" s="4" t="inlineStr">
        <is>
          <t>Espera</t>
        </is>
      </c>
      <c r="H4" s="4" t="inlineStr">
        <is>
          <t>Canal</t>
        </is>
      </c>
      <c r="I4" s="4" t="inlineStr">
        <is>
          <t>Acción y contenido</t>
        </is>
      </c>
      <c r="J4" s="4" t="inlineStr">
        <is>
          <t>Supresión / salida</t>
        </is>
      </c>
      <c r="K4" s="4" t="inlineStr">
        <is>
          <t>KPI</t>
        </is>
      </c>
      <c r="L4" s="4" t="inlineStr">
        <is>
          <t>Dónde se ve en el prototipo</t>
        </is>
      </c>
    </row>
    <row r="5" ht="62" customHeight="1">
      <c r="A5" s="5" t="inlineStr">
        <is>
          <t>W1</t>
        </is>
      </c>
      <c r="B5" s="10" t="inlineStr">
        <is>
          <t>Contacto nuevo</t>
        </is>
      </c>
      <c r="C5" s="10" t="inlineStr">
        <is>
          <t>Todos</t>
        </is>
      </c>
      <c r="D5" s="10" t="inlineStr">
        <is>
          <t>Identificación</t>
        </is>
      </c>
      <c r="E5" s="10" t="inlineStr">
        <is>
          <t>Deja sus datos con permiso al empezar (C03, antes del diagnóstico)</t>
        </is>
      </c>
      <c r="F5" s="10" t="inlineStr">
        <is>
          <t>Correo válido + permiso</t>
        </is>
      </c>
      <c r="G5" s="10" t="inlineStr">
        <is>
          <t>Inmediato</t>
        </is>
      </c>
      <c r="H5" s="10" t="inlineStr">
        <is>
          <t>Correo + CRM</t>
        </is>
      </c>
      <c r="I5" s="10" t="inlineStr">
        <is>
          <t>Correo con su N.º de seguimiento (la propuesta le llega al terminar, W2); ficha en el CRM; aviso a la ejecutiva</t>
        </is>
      </c>
      <c r="J5" s="10" t="inlineStr">
        <is>
          <t>—</t>
        </is>
      </c>
      <c r="K5" s="10" t="inlineStr">
        <is>
          <t>K02</t>
        </is>
      </c>
      <c r="L5" s="6" t="inlineStr">
        <is>
          <t>Aviso de correo; R01</t>
        </is>
      </c>
    </row>
    <row r="6" ht="75" customHeight="1">
      <c r="A6" s="5" t="inlineStr">
        <is>
          <t>W2</t>
        </is>
      </c>
      <c r="B6" s="10" t="inlineStr">
        <is>
          <t>Calificación y zona</t>
        </is>
      </c>
      <c r="C6" s="10" t="inlineStr">
        <is>
          <t>Por tipo de negocio y comuna</t>
        </is>
      </c>
      <c r="D6" s="10" t="inlineStr">
        <is>
          <t>Evaluación</t>
        </is>
      </c>
      <c r="E6" s="10" t="inlineStr">
        <is>
          <t>Marca su negocio y su comuna (C04, pasos 1 y 2)</t>
        </is>
      </c>
      <c r="F6" s="10" t="inlineStr">
        <is>
          <t>Comuna informada</t>
        </is>
      </c>
      <c r="G6" s="10" t="inlineStr">
        <is>
          <t>Inmediato</t>
        </is>
      </c>
      <c r="H6" s="10" t="inlineStr">
        <is>
          <t>Interno</t>
        </is>
      </c>
      <c r="I6" s="10" t="inlineStr">
        <is>
          <t>Suma puntaje (A +10, B +6, C +3, R +2); asigna ejecutiva de la zona; Logística revisa ruta; al terminar, el agente arma la propuesta y se la envía por correo</t>
        </is>
      </c>
      <c r="J6" s="10" t="inlineStr">
        <is>
          <t>—</t>
        </is>
      </c>
      <c r="K6" s="10" t="inlineStr">
        <is>
          <t>K07</t>
        </is>
      </c>
      <c r="L6" s="6" t="inlineStr">
        <is>
          <t>R07 Agentes; R04</t>
        </is>
      </c>
    </row>
    <row r="7" ht="75" customHeight="1">
      <c r="A7" s="5" t="inlineStr">
        <is>
          <t>W3</t>
        </is>
      </c>
      <c r="B7" s="10" t="inlineStr">
        <is>
          <t>Propuesta aceptada o contacto humano</t>
        </is>
      </c>
      <c r="C7" s="10" t="inlineStr">
        <is>
          <t>Todos</t>
        </is>
      </c>
      <c r="D7" s="10" t="inlineStr">
        <is>
          <t>Activación</t>
        </is>
      </c>
      <c r="E7" s="10" t="inlineStr">
        <is>
          <t>Acepta su propuesta o elige chat, llamada o correo (C05 → C06; si no dejó sus datos, C03)</t>
        </is>
      </c>
      <c r="F7" s="10" t="inlineStr">
        <is>
          <t>Disponibilidad de la ejecutiva</t>
        </is>
      </c>
      <c r="G7" s="10" t="inlineStr">
        <is>
          <t>Inmediato</t>
        </is>
      </c>
      <c r="H7" s="10" t="inlineStr">
        <is>
          <t>Chat / teléfono / correo / WhatsApp</t>
        </is>
      </c>
      <c r="I7" s="10" t="inlineStr">
        <is>
          <t>Acepta: «¡Listo!» con quién, por dónde y cuándo; la ejecutiva confirma precio y fecha. Chat: bot de bienvenida y espera visible. Llamada: cola o agenda. Correo: acuse</t>
        </is>
      </c>
      <c r="J7" s="10" t="inlineStr">
        <is>
          <t>Sale cuando la ejecutiva responde (W6)</t>
        </is>
      </c>
      <c r="K7" s="10" t="inlineStr">
        <is>
          <t>K04, K05, K06, K09</t>
        </is>
      </c>
      <c r="L7" s="6" t="inlineStr">
        <is>
          <t>C06; R02</t>
        </is>
      </c>
    </row>
    <row r="8" ht="88" customHeight="1">
      <c r="A8" s="5" t="inlineStr">
        <is>
          <t>W4</t>
        </is>
      </c>
      <c r="B8" s="10" t="inlineStr">
        <is>
          <t>Abandono con datos</t>
        </is>
      </c>
      <c r="C8" s="10" t="inlineStr">
        <is>
          <t>Con correo y permiso (dejó sus datos al principio)</t>
        </is>
      </c>
      <c r="D8" s="10" t="inlineStr">
        <is>
          <t>Evaluación</t>
        </is>
      </c>
      <c r="E8" s="10" t="inlineStr">
        <is>
          <t>Dejó sus datos y no terminó el diagnóstico, o vio su propuesta y no la aceptó ni pidió contacto</t>
        </is>
      </c>
      <c r="F8" s="10" t="inlineStr">
        <is>
          <t>Sin actividad ni ejecutiva asignada; permiso por finalidad; WhatsApp solo con plantilla aprobada cuando corresponda</t>
        </is>
      </c>
      <c r="G8" s="10" t="inlineStr">
        <is>
          <t>24 h</t>
        </is>
      </c>
      <c r="H8" s="10" t="inlineStr">
        <is>
          <t>Canal elegido + remarketing con permiso</t>
        </is>
      </c>
      <c r="I8" s="10" t="inlineStr">
        <is>
          <t>«Tu avance te espera» o «Tu propuesta te espera» con el video de su negocio (máx. 1); entra a la audiencia de remarketing (Google y Meta) con permiso</t>
        </is>
      </c>
      <c r="J8" s="10" t="inlineStr">
        <is>
          <t>Retoma, acepta o pasa a nutrición (W10)</t>
        </is>
      </c>
      <c r="K8" s="10" t="inlineStr">
        <is>
          <t>K03, K09</t>
        </is>
      </c>
      <c r="L8" s="6" t="inlineStr">
        <is>
          <t>Simulado: aviso a los 2 min sin terminar (en la realidad, 24 h)</t>
        </is>
      </c>
    </row>
    <row r="9" ht="49" customHeight="1">
      <c r="A9" s="5" t="inlineStr">
        <is>
          <t>W5</t>
        </is>
      </c>
      <c r="B9" s="10" t="inlineStr">
        <is>
          <t>Propuesta sin respuesta</t>
        </is>
      </c>
      <c r="C9" s="10" t="inlineStr">
        <is>
          <t>SQL candidato</t>
        </is>
      </c>
      <c r="D9" s="10" t="inlineStr">
        <is>
          <t>Cierre</t>
        </is>
      </c>
      <c r="E9" s="10" t="inlineStr">
        <is>
          <t>Propuesta enviada por la ejecutiva (R02 o R08)</t>
        </is>
      </c>
      <c r="F9" s="10" t="inlineStr">
        <is>
          <t>Sin aceptación</t>
        </is>
      </c>
      <c r="G9" s="10" t="inlineStr">
        <is>
          <t>72 h</t>
        </is>
      </c>
      <c r="H9" s="10" t="inlineStr">
        <is>
          <t>Su canal elegido</t>
        </is>
      </c>
      <c r="I9" s="10" t="inlineStr">
        <is>
          <t>Seguimiento de la ejecutiva con el resumen de su propuesta y los extras que marcó</t>
        </is>
      </c>
      <c r="J9" s="10" t="inlineStr">
        <is>
          <t>Acepta o cierra la secuencia</t>
        </is>
      </c>
      <c r="K9" s="10" t="inlineStr">
        <is>
          <t>K09</t>
        </is>
      </c>
      <c r="L9" s="6" t="inlineStr">
        <is>
          <t>Diseñado (no simulado)</t>
        </is>
      </c>
    </row>
    <row r="10" ht="49" customHeight="1">
      <c r="A10" s="5" t="inlineStr">
        <is>
          <t>W6</t>
        </is>
      </c>
      <c r="B10" s="10" t="inlineStr">
        <is>
          <t>Toma humana</t>
        </is>
      </c>
      <c r="C10" s="10" t="inlineStr">
        <is>
          <t>Todos</t>
        </is>
      </c>
      <c r="D10" s="10" t="inlineStr">
        <is>
          <t>Activación / cierre</t>
        </is>
      </c>
      <c r="E10" s="10" t="inlineStr">
        <is>
          <t>La ejecutiva responde o llama</t>
        </is>
      </c>
      <c r="F10" s="10" t="inlineStr">
        <is>
          <t>—</t>
        </is>
      </c>
      <c r="G10" s="10" t="inlineStr">
        <is>
          <t>Inmediato</t>
        </is>
      </c>
      <c r="H10" s="10" t="inlineStr">
        <is>
          <t>—</t>
        </is>
      </c>
      <c r="I10" s="10" t="inlineStr">
        <is>
          <t>Pausa W4, W5 y respuestas autónomas de IA; conserva contexto y responsable para no duplicar mensajes</t>
        </is>
      </c>
      <c r="J10" s="10" t="inlineStr">
        <is>
          <t>—</t>
        </is>
      </c>
      <c r="K10" s="10" t="inlineStr">
        <is>
          <t>—</t>
        </is>
      </c>
      <c r="L10" s="6" t="inlineStr">
        <is>
          <t>R02 (pausa la ejecutiva simulada)</t>
        </is>
      </c>
    </row>
    <row r="11" ht="75" customHeight="1">
      <c r="A11" s="5" t="inlineStr">
        <is>
          <t>W7</t>
        </is>
      </c>
      <c r="B11" s="10" t="inlineStr">
        <is>
          <t>Recompra</t>
        </is>
      </c>
      <c r="C11" s="10" t="inlineStr">
        <is>
          <t>Cliente activo</t>
        </is>
      </c>
      <c r="D11" s="10" t="inlineStr">
        <is>
          <t>Recompra</t>
        </is>
      </c>
      <c r="E11" s="10" t="inlineStr">
        <is>
          <t>Días sin comprar ≥ su frecuencia habitual</t>
        </is>
      </c>
      <c r="F11" s="10" t="inlineStr">
        <is>
          <t>Sin incidencia crítica</t>
        </is>
      </c>
      <c r="G11" s="10" t="inlineStr">
        <is>
          <t>Según frecuencia del cliente</t>
        </is>
      </c>
      <c r="H11" s="10" t="inlineStr">
        <is>
          <t>Portal / WhatsApp con permiso</t>
        </is>
      </c>
      <c r="I11" s="10" t="inlineStr">
        <is>
          <t>Borrador del último pedido con cantidades y dirección; cliente revisa y confirma antes de crearlo; ejecutivo resuelve excepciones y Logística confirma ruta</t>
        </is>
      </c>
      <c r="J11" s="10" t="inlineStr">
        <is>
          <t>Repite pedido o contacto</t>
        </is>
      </c>
      <c r="K11" s="10" t="inlineStr">
        <is>
          <t>K11, K12</t>
        </is>
      </c>
      <c r="L11" s="6" t="inlineStr">
        <is>
          <t>R01 Recompras; C09</t>
        </is>
      </c>
    </row>
    <row r="12" ht="36" customHeight="1">
      <c r="A12" s="5" t="inlineStr">
        <is>
          <t>W8</t>
        </is>
      </c>
      <c r="B12" s="10" t="inlineStr">
        <is>
          <t>Referidos</t>
        </is>
      </c>
      <c r="C12" s="10" t="inlineStr">
        <is>
          <t>Financial ≥ 70</t>
        </is>
      </c>
      <c r="D12" s="10" t="inlineStr">
        <is>
          <t>Recompra</t>
        </is>
      </c>
      <c r="E12" s="10" t="inlineStr">
        <is>
          <t>Cliente frecuente y satisfecho</t>
        </is>
      </c>
      <c r="F12" s="10" t="inlineStr">
        <is>
          <t>Sin incidencia crítica</t>
        </is>
      </c>
      <c r="G12" s="10" t="inlineStr">
        <is>
          <t>—</t>
        </is>
      </c>
      <c r="H12" s="10" t="inlineStr">
        <is>
          <t>Portal</t>
        </is>
      </c>
      <c r="I12" s="10" t="inlineStr">
        <is>
          <t>Invitación con código de referido; beneficio lo aprueba jefatura</t>
        </is>
      </c>
      <c r="J12" s="10" t="inlineStr">
        <is>
          <t>Referido atribuido</t>
        </is>
      </c>
      <c r="K12" s="10" t="inlineStr">
        <is>
          <t>K15</t>
        </is>
      </c>
      <c r="L12" s="6" t="inlineStr">
        <is>
          <t>C09; R07 aprobaciones</t>
        </is>
      </c>
    </row>
    <row r="13" ht="62" customHeight="1">
      <c r="A13" s="5" t="inlineStr">
        <is>
          <t>W9</t>
        </is>
      </c>
      <c r="B13" s="10" t="inlineStr">
        <is>
          <t>Incidencia crítica</t>
        </is>
      </c>
      <c r="C13" s="10" t="inlineStr">
        <is>
          <t>Cliente activo</t>
        </is>
      </c>
      <c r="D13" s="10" t="inlineStr">
        <is>
          <t>Postventa</t>
        </is>
      </c>
      <c r="E13" s="10" t="inlineStr">
        <is>
          <t>Ticket crítico abierto</t>
        </is>
      </c>
      <c r="F13" s="10" t="inlineStr">
        <is>
          <t>—</t>
        </is>
      </c>
      <c r="G13" s="10" t="inlineStr">
        <is>
          <t>Inmediato</t>
        </is>
      </c>
      <c r="H13" s="10" t="inlineStr">
        <is>
          <t>Portal / chat / WhatsApp con permiso</t>
        </is>
      </c>
      <c r="I13" s="10" t="inlineStr">
        <is>
          <t>Crea ticket con número, responsable y estado; pausa ampliación, campañas y referidos; traspasa a postventa con contexto</t>
        </is>
      </c>
      <c r="J13" s="10" t="inlineStr">
        <is>
          <t>Cliente confirma solución; si no, reabrir; baja de marketing se respeta</t>
        </is>
      </c>
      <c r="K13" s="10" t="inlineStr">
        <is>
          <t>K21</t>
        </is>
      </c>
      <c r="L13" s="6" t="inlineStr">
        <is>
          <t>Recorrido demostrable; integración real propuesta en hoja 23</t>
        </is>
      </c>
    </row>
    <row r="14" ht="62" customHeight="1">
      <c r="A14" s="7" t="inlineStr">
        <is>
          <t>W10</t>
        </is>
      </c>
      <c r="B14" s="14" t="inlineStr">
        <is>
          <t>Nutrición por zona</t>
        </is>
      </c>
      <c r="C14" s="14" t="inlineStr">
        <is>
          <t>Puntaje &lt; 40; zona A/B vs C/R</t>
        </is>
      </c>
      <c r="D14" s="14" t="inlineStr">
        <is>
          <t>Exploración</t>
        </is>
      </c>
      <c r="E14" s="14" t="inlineStr">
        <is>
          <t>Contacto identificado que no avanza</t>
        </is>
      </c>
      <c r="F14" s="14" t="inlineStr">
        <is>
          <t>Con permiso</t>
        </is>
      </c>
      <c r="G14" s="14" t="inlineStr">
        <is>
          <t>3, 7 y 14 días</t>
        </is>
      </c>
      <c r="H14" s="14" t="inlineStr">
        <is>
          <t>Correo</t>
        </is>
      </c>
      <c r="I14" s="14" t="inlineStr">
        <is>
          <t>A/B: guía gráfica + video del caso + invitación al diagnóstico. C/R: guía + cobertura y despacho de su zona</t>
        </is>
      </c>
      <c r="J14" s="14" t="inlineStr">
        <is>
          <t>Pide contacto o se da de baja</t>
        </is>
      </c>
      <c r="K14" s="14" t="inlineStr">
        <is>
          <t>K03, K07</t>
        </is>
      </c>
      <c r="L14" s="8" t="inlineStr">
        <is>
          <t>Diseñado (no simulado)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L3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52" customWidth="1" min="3" max="3"/>
    <col width="52" customWidth="1" min="4" max="4"/>
    <col width="68" customWidth="1" min="5" max="5"/>
    <col width="54" customWidth="1" min="6" max="6"/>
    <col width="58" customWidth="1" min="7" max="7"/>
    <col width="42" customWidth="1" min="8" max="8"/>
    <col width="68" customWidth="1" min="9" max="9"/>
    <col width="22" customWidth="1" min="10" max="10"/>
    <col width="58" customWidth="1" min="11" max="11"/>
    <col width="60" customWidth="1" min="12" max="12"/>
  </cols>
  <sheetData>
    <row r="1" ht="28" customHeight="1">
      <c r="A1" s="1" t="inlineStr">
        <is>
          <t>Piezas audiovisuales y gráficas por etapa del funnel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Estado al 10-10-2026. Solo se publican piezas con información verificable y autorizada por Marley Coffee.</t>
        </is>
      </c>
    </row>
    <row r="3"/>
    <row r="4" ht="30" customHeight="1">
      <c r="A4" s="4" t="inlineStr">
        <is>
          <t>Pieza</t>
        </is>
      </c>
      <c r="B4" s="4" t="inlineStr">
        <is>
          <t>Formato</t>
        </is>
      </c>
      <c r="C4" s="4" t="inlineStr">
        <is>
          <t>Etapa</t>
        </is>
      </c>
      <c r="D4" s="4" t="inlineStr">
        <is>
          <t>Segmento</t>
        </is>
      </c>
      <c r="E4" s="4" t="inlineStr">
        <is>
          <t>Objetivo</t>
        </is>
      </c>
      <c r="F4" s="4" t="inlineStr">
        <is>
          <t>CTA</t>
        </is>
      </c>
      <c r="G4" s="4" t="inlineStr">
        <is>
          <t>Workflow</t>
        </is>
      </c>
      <c r="H4" s="4" t="inlineStr">
        <is>
          <t>Estado</t>
        </is>
      </c>
    </row>
    <row r="5" ht="23" customHeight="1">
      <c r="A5" s="5" t="inlineStr">
        <is>
          <t>Video caso hotel (8 s)</t>
        </is>
      </c>
      <c r="B5" s="10" t="inlineStr">
        <is>
          <t>Audiovisual</t>
        </is>
      </c>
      <c r="C5" s="10" t="inlineStr">
        <is>
          <t>Exploración / espera</t>
        </is>
      </c>
      <c r="D5" s="10" t="inlineStr">
        <is>
          <t>Hotel, eventos</t>
        </is>
      </c>
      <c r="E5" s="10" t="inlineStr">
        <is>
          <t>Imaginar Marley Coffee en su operación</t>
        </is>
      </c>
      <c r="F5" s="10" t="inlineStr">
        <is>
          <t>Encontrar mi solución</t>
        </is>
      </c>
      <c r="G5" s="10" t="inlineStr">
        <is>
          <t>W3, W4</t>
        </is>
      </c>
      <c r="H5" s="6" t="inlineStr">
        <is>
          <t>Producido para el MVP (Higgsfield)</t>
        </is>
      </c>
    </row>
    <row r="6" ht="36" customHeight="1">
      <c r="A6" s="5" t="inlineStr">
        <is>
          <t>Video caso restaurante (8 s)</t>
        </is>
      </c>
      <c r="B6" s="10" t="inlineStr">
        <is>
          <t>Audiovisual</t>
        </is>
      </c>
      <c r="C6" s="10" t="inlineStr">
        <is>
          <t>Exploración / espera</t>
        </is>
      </c>
      <c r="D6" s="10" t="inlineStr">
        <is>
          <t>Restaurante, cafetería</t>
        </is>
      </c>
      <c r="E6" s="10" t="inlineStr">
        <is>
          <t>Imaginar el espresso de sobremesa con la marca</t>
        </is>
      </c>
      <c r="F6" s="10" t="inlineStr">
        <is>
          <t>Encontrar mi solución</t>
        </is>
      </c>
      <c r="G6" s="10" t="inlineStr">
        <is>
          <t>W3, W4</t>
        </is>
      </c>
      <c r="H6" s="6" t="inlineStr">
        <is>
          <t>Producido para el MVP (Higgsfield)</t>
        </is>
      </c>
    </row>
    <row r="7" ht="36" customHeight="1">
      <c r="A7" s="5" t="inlineStr">
        <is>
          <t>Experiencia de casos con scroll (C08)</t>
        </is>
      </c>
      <c r="B7" s="10" t="inlineStr">
        <is>
          <t>Audiovisual interactivo</t>
        </is>
      </c>
      <c r="C7" s="10" t="inlineStr">
        <is>
          <t>Evaluación</t>
        </is>
      </c>
      <c r="D7" s="10" t="inlineStr">
        <is>
          <t>Todos</t>
        </is>
      </c>
      <c r="E7" s="10" t="inlineStr">
        <is>
          <t>Comparar formatos por tipo de negocio</t>
        </is>
      </c>
      <c r="F7" s="10" t="inlineStr">
        <is>
          <t>Encontrar mi solución</t>
        </is>
      </c>
      <c r="G7" s="10" t="inlineStr">
        <is>
          <t>—</t>
        </is>
      </c>
      <c r="H7" s="6" t="inlineStr">
        <is>
          <t>Producido en el prototipo</t>
        </is>
      </c>
    </row>
    <row r="8" ht="36" customHeight="1">
      <c r="A8" s="5" t="inlineStr">
        <is>
          <t>Fotos oficiales de producto</t>
        </is>
      </c>
      <c r="B8" s="10" t="inlineStr">
        <is>
          <t>Gráfico</t>
        </is>
      </c>
      <c r="C8" s="10" t="inlineStr">
        <is>
          <t>Evaluación</t>
        </is>
      </c>
      <c r="D8" s="10" t="inlineStr">
        <is>
          <t>Todos</t>
        </is>
      </c>
      <c r="E8" s="10" t="inlineStr">
        <is>
          <t>Mostrar el catálogo real sin precios</t>
        </is>
      </c>
      <c r="F8" s="10" t="inlineStr">
        <is>
          <t>Ver propuesta</t>
        </is>
      </c>
      <c r="G8" s="10" t="inlineStr">
        <is>
          <t>—</t>
        </is>
      </c>
      <c r="H8" s="6" t="inlineStr">
        <is>
          <t>Disponible (catálogo oficial)</t>
        </is>
      </c>
    </row>
    <row r="9" ht="36" customHeight="1">
      <c r="A9" s="5" t="inlineStr">
        <is>
          <t>Correo con la propuesta y el N.º de seguimiento</t>
        </is>
      </c>
      <c r="B9" s="10" t="inlineStr">
        <is>
          <t>Texto + marca</t>
        </is>
      </c>
      <c r="C9" s="10" t="inlineStr">
        <is>
          <t>Identificación</t>
        </is>
      </c>
      <c r="D9" s="10" t="inlineStr">
        <is>
          <t>Todos</t>
        </is>
      </c>
      <c r="E9" s="10" t="inlineStr">
        <is>
          <t>Retomar sin repetir datos</t>
        </is>
      </c>
      <c r="F9" s="10" t="inlineStr">
        <is>
          <t>Volver a mi portal</t>
        </is>
      </c>
      <c r="G9" s="10" t="inlineStr">
        <is>
          <t>W1</t>
        </is>
      </c>
      <c r="H9" s="6" t="inlineStr">
        <is>
          <t>Simulado en el prototipo</t>
        </is>
      </c>
    </row>
    <row r="10" ht="36" customHeight="1">
      <c r="A10" s="5" t="inlineStr">
        <is>
          <t>Guía gráfica «Qué datos sirven para recomendarte»</t>
        </is>
      </c>
      <c r="B10" s="10" t="inlineStr">
        <is>
          <t>Gráfico</t>
        </is>
      </c>
      <c r="C10" s="10" t="inlineStr">
        <is>
          <t>Exploración</t>
        </is>
      </c>
      <c r="D10" s="10" t="inlineStr">
        <is>
          <t>Todos</t>
        </is>
      </c>
      <c r="E10" s="10" t="inlineStr">
        <is>
          <t>Bajar la duda antes del diagnóstico</t>
        </is>
      </c>
      <c r="F10" s="10" t="inlineStr">
        <is>
          <t>Empezar diagnóstico</t>
        </is>
      </c>
      <c r="G10" s="10" t="inlineStr">
        <is>
          <t>W10</t>
        </is>
      </c>
      <c r="H10" s="6" t="inlineStr">
        <is>
          <t>Por producir</t>
        </is>
      </c>
    </row>
    <row r="11" ht="36" customHeight="1">
      <c r="A11" s="5" t="inlineStr">
        <is>
          <t>Comparador visual grano / molido / cápsulas</t>
        </is>
      </c>
      <c r="B11" s="10" t="inlineStr">
        <is>
          <t>Gráfico</t>
        </is>
      </c>
      <c r="C11" s="10" t="inlineStr">
        <is>
          <t>Evaluación</t>
        </is>
      </c>
      <c r="D11" s="10" t="inlineStr">
        <is>
          <t>Por forma de servicio</t>
        </is>
      </c>
      <c r="E11" s="10" t="inlineStr">
        <is>
          <t>Elegir formato</t>
        </is>
      </c>
      <c r="F11" s="10" t="inlineStr">
        <is>
          <t>Ver mi recomendación</t>
        </is>
      </c>
      <c r="G11" s="10" t="inlineStr">
        <is>
          <t>W4</t>
        </is>
      </c>
      <c r="H11" s="6" t="inlineStr">
        <is>
          <t>Por producir con datos aprobados</t>
        </is>
      </c>
    </row>
    <row r="12" ht="36" customHeight="1">
      <c r="A12" s="5" t="inlineStr">
        <is>
          <t>Correo «Tu propuesta te espera» con video</t>
        </is>
      </c>
      <c r="B12" s="10" t="inlineStr">
        <is>
          <t>Audiovisual + texto</t>
        </is>
      </c>
      <c r="C12" s="10" t="inlineStr">
        <is>
          <t>Evaluación</t>
        </is>
      </c>
      <c r="D12" s="10" t="inlineStr">
        <is>
          <t>Puntaje ≥ 40</t>
        </is>
      </c>
      <c r="E12" s="10" t="inlineStr">
        <is>
          <t>Recuperar a quien vio su propuesta y no la aceptó</t>
        </is>
      </c>
      <c r="F12" s="10" t="inlineStr">
        <is>
          <t>Aceptar mi propuesta</t>
        </is>
      </c>
      <c r="G12" s="10" t="inlineStr">
        <is>
          <t>W4</t>
        </is>
      </c>
      <c r="H12" s="6" t="inlineStr">
        <is>
          <t>Por producir</t>
        </is>
      </c>
    </row>
    <row r="13" ht="36" customHeight="1">
      <c r="A13" s="5" t="inlineStr">
        <is>
          <t>Clip para redes por zona (Oriente)</t>
        </is>
      </c>
      <c r="B13" s="10" t="inlineStr">
        <is>
          <t>Audiovisual</t>
        </is>
      </c>
      <c r="C13" s="10" t="inlineStr">
        <is>
          <t>Descubrimiento</t>
        </is>
      </c>
      <c r="D13" s="10" t="inlineStr">
        <is>
          <t>Zona A</t>
        </is>
      </c>
      <c r="E13" s="10" t="inlineStr">
        <is>
          <t>Atraer hoteles y restaurantes de alto ticket</t>
        </is>
      </c>
      <c r="F13" s="10" t="inlineStr">
        <is>
          <t>Empresas</t>
        </is>
      </c>
      <c r="G13" s="10" t="inlineStr">
        <is>
          <t>—</t>
        </is>
      </c>
      <c r="H13" s="6" t="inlineStr">
        <is>
          <t>Por producir</t>
        </is>
      </c>
    </row>
    <row r="14" ht="36" customHeight="1">
      <c r="A14" s="7" t="inlineStr">
        <is>
          <t>Caso real HORECA</t>
        </is>
      </c>
      <c r="B14" s="14" t="inlineStr">
        <is>
          <t>Audiovisual / gráfico</t>
        </is>
      </c>
      <c r="C14" s="14" t="inlineStr">
        <is>
          <t>Evaluación</t>
        </is>
      </c>
      <c r="D14" s="14" t="inlineStr">
        <is>
          <t>Por tipo de negocio</t>
        </is>
      </c>
      <c r="E14" s="14" t="inlineStr">
        <is>
          <t>Prueba social verificable</t>
        </is>
      </c>
      <c r="F14" s="14" t="inlineStr">
        <is>
          <t>Encontrar mi solución</t>
        </is>
      </c>
      <c r="G14" s="14" t="inlineStr">
        <is>
          <t>—</t>
        </is>
      </c>
      <c r="H14" s="8" t="inlineStr">
        <is>
          <t>Pendiente de autorización de un cliente real</t>
        </is>
      </c>
    </row>
    <row r="15" ht="23" customHeight="1"/>
    <row r="16" ht="30" customHeight="1">
      <c r="A16" s="4" t="inlineStr">
        <is>
          <t>ID</t>
        </is>
      </c>
      <c r="B16" s="4" t="inlineStr">
        <is>
          <t>Etapa del ciclo</t>
        </is>
      </c>
      <c r="C16" s="4" t="inlineStr">
        <is>
          <t>Táctica</t>
        </is>
      </c>
      <c r="D16" s="4" t="inlineStr">
        <is>
          <t>Público</t>
        </is>
      </c>
      <c r="E16" s="4" t="inlineStr">
        <is>
          <t>Acción</t>
        </is>
      </c>
      <c r="F16" s="4" t="inlineStr">
        <is>
          <t>Pieza</t>
        </is>
      </c>
      <c r="G16" s="4" t="inlineStr">
        <is>
          <t>Valor / CTA</t>
        </is>
      </c>
      <c r="H16" s="4" t="inlineStr">
        <is>
          <t>Evento y automatización</t>
        </is>
      </c>
      <c r="I16" s="4" t="inlineStr">
        <is>
          <t>Agente</t>
        </is>
      </c>
      <c r="J16" s="4" t="inlineStr">
        <is>
          <t>Indicador</t>
        </is>
      </c>
      <c r="K16" s="4" t="inlineStr">
        <is>
          <t>Medición</t>
        </is>
      </c>
      <c r="L16" s="4" t="inlineStr">
        <is>
          <t>Estado</t>
        </is>
      </c>
    </row>
    <row r="17" ht="49" customHeight="1">
      <c r="A17" s="5" t="inlineStr">
        <is>
          <t>T01</t>
        </is>
      </c>
      <c r="B17" s="10" t="inlineStr">
        <is>
          <t>Atraer</t>
        </is>
      </c>
      <c r="C17" s="10" t="inlineStr">
        <is>
          <t>SEO por intención profesional</t>
        </is>
      </c>
      <c r="D17" s="10" t="inlineStr">
        <is>
          <t>Administración de hoteles, restaurantes, cafeterías y eventos</t>
        </is>
      </c>
      <c r="E17" s="10" t="inlineStr">
        <is>
          <t>Crear /empresas y páginas útiles por negocio; enlazar desde Empresas, catálogo pertinente y guías. Explicar arriendo y compra directa con respuestas propias de cada operación.</t>
        </is>
      </c>
      <c r="F17" s="10" t="inlineStr">
        <is>
          <t>Páginas por negocio con una solución, comparador y preguntas frecuentes visibles.</t>
        </is>
      </c>
      <c r="G17" s="10" t="inlineStr">
        <is>
          <t>LM1</t>
        </is>
      </c>
      <c r="H17" s="10" t="inlineStr">
        <is>
          <t>visita_empresas · W1</t>
        </is>
      </c>
      <c r="I17" s="10" t="inlineStr">
        <is>
          <t>Marketing</t>
        </is>
      </c>
      <c r="J17" s="10" t="inlineStr">
        <is>
          <t>K01, K02</t>
        </is>
      </c>
      <c r="K17" s="10" t="inlineStr">
        <is>
          <t>Impresiones y clics por intención; visitas a Empresas; contacto identificado. W1 solo al guardar datos con permiso.</t>
        </is>
      </c>
      <c r="L17" s="6" t="inlineStr">
        <is>
          <t>Arquitectura propuesta para producción: /empresas y destinos por intención. Las rutas hash del HTML local son navegación de demostración.</t>
        </is>
      </c>
    </row>
    <row r="18" ht="88" customHeight="1">
      <c r="A18" s="5" t="inlineStr">
        <is>
          <t>T02</t>
        </is>
      </c>
      <c r="B18" s="10" t="inlineStr">
        <is>
          <t>Atraer</t>
        </is>
      </c>
      <c r="C18" s="10" t="inlineStr">
        <is>
          <t>SEO técnico y estructura semántica</t>
        </is>
      </c>
      <c r="D18" s="10" t="inlineStr">
        <is>
          <t>Responsable que busca una máquina para su operación</t>
        </is>
      </c>
      <c r="E18" s="10" t="inlineStr">
        <is>
          <t>Validar rastreo e indexación; corregir la referencia genérica a MiTienda.com.br observada en robots.txt, publicar sitemap de URLs públicas correctas, canonical y metadatos únicos, un H1 descriptivo y enlaces rastreables. Diseñar páginas B2B indexables desde el servidor; no depender de rutas hash del prototipo. Excluir portal/CRM del índice y protegerlos con autenticación.</t>
        </is>
      </c>
      <c r="F18" s="10" t="inlineStr">
        <is>
          <t>Mapa de URLs públicas, sitemap y control en Search Console; datos estructurados fieles al contenido visible.</t>
        </is>
      </c>
      <c r="G18" s="10" t="inlineStr">
        <is>
          <t>LM1</t>
        </is>
      </c>
      <c r="H18" s="10" t="inlineStr">
        <is>
          <t>visita_organica_empresas · W1</t>
        </is>
      </c>
      <c r="I18" s="10" t="inlineStr">
        <is>
          <t>Marketing + TI</t>
        </is>
      </c>
      <c r="J18" s="10" t="inlineStr">
        <is>
          <t>K01</t>
        </is>
      </c>
      <c r="K18" s="10" t="inlineStr">
        <is>
          <t>URLs indexables e indexadas, errores de cobertura y clics. La lectura del sitio del 15-10 confirma la referencia genérica en robots; cambios y rendimiento por validar con accesos reales.</t>
        </is>
      </c>
      <c r="L18" s="6" t="inlineStr">
        <is>
          <t>Táctica propuesta; publicación, accesos y resultados del piloto pendientes de validación.</t>
        </is>
      </c>
    </row>
    <row r="19" ht="75" customHeight="1">
      <c r="A19" s="5" t="inlineStr">
        <is>
          <t>T03</t>
        </is>
      </c>
      <c r="B19" s="10" t="inlineStr">
        <is>
          <t>Atraer</t>
        </is>
      </c>
      <c r="C19" s="10" t="inlineStr">
        <is>
          <t>SEM de búsqueda por intención</t>
        </is>
      </c>
      <c r="D19" s="10" t="inlineStr">
        <is>
          <t>Quien compara proveedores o modalidades para su negocio</t>
        </is>
      </c>
      <c r="E19" s="10" t="inlineStr">
        <is>
          <t>Separar grupos: arriendo de máquina, compra de máquina y café HORECA; anuncios y página de destino coherentes con cada búsqueda. Revisar términos y negativas de consumo doméstico, empleo, reparación ajena y búsquedas no atendibles; verificar contexto antes de excluir.</t>
        </is>
      </c>
      <c r="F19" s="10" t="inlineStr">
        <is>
          <t>Tres grupos de búsqueda, anuncio por intención y destino por negocio/modalidad; etiquetas UTM.</t>
        </is>
      </c>
      <c r="G19" s="10" t="inlineStr">
        <is>
          <t>LM1</t>
        </is>
      </c>
      <c r="H19" s="10" t="inlineStr">
        <is>
          <t>visita_campana_empresas · W1</t>
        </is>
      </c>
      <c r="I19" s="10" t="inlineStr">
        <is>
          <t>Marketing + revisión comercial</t>
        </is>
      </c>
      <c r="J19" s="10" t="inlineStr">
        <is>
          <t>K01, K02, K08, K10</t>
        </is>
      </c>
      <c r="K19" s="10" t="inlineStr">
        <is>
          <t>Clic, costo por contacto y SQL aceptado; comparar calidad por intención y zona. Sin presupuesto ni rentabilidad supuestos.</t>
        </is>
      </c>
      <c r="L19" s="6" t="inlineStr">
        <is>
          <t>Táctica propuesta; publicación, accesos y resultados del piloto pendientes de validación.</t>
        </is>
      </c>
    </row>
    <row r="20" ht="49" customHeight="1">
      <c r="A20" s="5" t="inlineStr">
        <is>
          <t>T04</t>
        </is>
      </c>
      <c r="B20" s="10" t="inlineStr">
        <is>
          <t>Atraer</t>
        </is>
      </c>
      <c r="C20" s="10" t="inlineStr">
        <is>
          <t>Orgánico útil en LinkedIn</t>
        </is>
      </c>
      <c r="D20" s="10" t="inlineStr">
        <is>
          <t>Administradores de hotel y responsables de alimentos y bebidas</t>
        </is>
      </c>
      <c r="E20" s="10" t="inlineStr">
        <is>
          <t>Publicar carrusel de planificación del café de desayuno: turnos, volumen aproximado, capacitación y reposición. Enlazar con UTM a guía y diagnóstico de hotel; ejemplos ilustrativos rotulados.</t>
        </is>
      </c>
      <c r="F20" s="10" t="inlineStr">
        <is>
          <t>Carrusel «Qué considerar para el café de tu hotel» y guía de datos necesarios.</t>
        </is>
      </c>
      <c r="G20" s="10" t="inlineStr">
        <is>
          <t>LM1, LM3</t>
        </is>
      </c>
      <c r="H20" s="10" t="inlineStr">
        <is>
          <t>visita_linkedin_hotel · W1, W2</t>
        </is>
      </c>
      <c r="I20" s="10" t="inlineStr">
        <is>
          <t>Marketing</t>
        </is>
      </c>
      <c r="J20" s="10" t="inlineStr">
        <is>
          <t>K01, K03, K07</t>
        </is>
      </c>
      <c r="K20" s="10" t="inlineStr">
        <is>
          <t>Clic al activo, identificación, diagnóstico y MQL; no tratar alcance como venta.</t>
        </is>
      </c>
      <c r="L20" s="6" t="inlineStr">
        <is>
          <t>Táctica propuesta; publicación, accesos y resultados del piloto pendientes de validación.</t>
        </is>
      </c>
    </row>
    <row r="21" ht="62" customHeight="1">
      <c r="A21" s="5" t="inlineStr">
        <is>
          <t>T05</t>
        </is>
      </c>
      <c r="B21" s="10" t="inlineStr">
        <is>
          <t>Atraer</t>
        </is>
      </c>
      <c r="C21" s="10" t="inlineStr">
        <is>
          <t>Orgánico útil en Instagram</t>
        </is>
      </c>
      <c r="D21" s="10" t="inlineStr">
        <is>
          <t>Dueños de cafeterías/restaurantes y productores de eventos</t>
        </is>
      </c>
      <c r="E21" s="10" t="inlineStr">
        <is>
          <t>Crear clip de sobremesa o barra y carrusel grano/molido/cápsulas con criterios de elección; enlazar pieza por negocio mediante UTM. Mostrar productos oficiales e identificar escenas generadas como ilustrativas.</t>
        </is>
      </c>
      <c r="F21" s="10" t="inlineStr">
        <is>
          <t>Clip por negocio + comparador visual + destino relevante.</t>
        </is>
      </c>
      <c r="G21" s="10" t="inlineStr">
        <is>
          <t>LM1, LM3</t>
        </is>
      </c>
      <c r="H21" s="10" t="inlineStr">
        <is>
          <t>visita_instagram_negocio · W1, W2</t>
        </is>
      </c>
      <c r="I21" s="10" t="inlineStr">
        <is>
          <t>Marketing</t>
        </is>
      </c>
      <c r="J21" s="10" t="inlineStr">
        <is>
          <t>K01, K03</t>
        </is>
      </c>
      <c r="K21" s="10" t="inlineStr">
        <is>
          <t>Guardados y clics al destino; finalización del diagnóstico por pieza y negocio.</t>
        </is>
      </c>
      <c r="L21" s="6" t="inlineStr">
        <is>
          <t>Táctica propuesta; publicación, accesos y resultados del piloto pendientes de validación.</t>
        </is>
      </c>
    </row>
    <row r="22" ht="62" customHeight="1">
      <c r="A22" s="5" t="inlineStr">
        <is>
          <t>T06</t>
        </is>
      </c>
      <c r="B22" s="10" t="inlineStr">
        <is>
          <t>Atraer</t>
        </is>
      </c>
      <c r="C22" s="10" t="inlineStr">
        <is>
          <t>Activaciones, alianzas y referidos</t>
        </is>
      </c>
      <c r="D22" s="10" t="inlineStr">
        <is>
          <t>Asistentes a activaciones y negocios invitados por clientes</t>
        </is>
      </c>
      <c r="E22" s="10" t="inlineStr">
        <is>
          <t>Vincular QR de una activación y código de referido con la página pertinente; ofrecer orientación útil. Publicar casos reales solo con autorización y evidencia, sin convertir escenas de ejemplo en testimonios.</t>
        </is>
      </c>
      <c r="F22" s="10" t="inlineStr">
        <is>
          <t>QR identificado, código referido y caso autorizado cuando exista.</t>
        </is>
      </c>
      <c r="G22" s="10" t="inlineStr">
        <is>
          <t>LM1, LM7</t>
        </is>
      </c>
      <c r="H22" s="10" t="inlineStr">
        <is>
          <t>visita_activacion_o_referido · W8, W1</t>
        </is>
      </c>
      <c r="I22" s="10" t="inlineStr">
        <is>
          <t>Marketing + Postventa</t>
        </is>
      </c>
      <c r="J22" s="10" t="inlineStr">
        <is>
          <t>K01, K15</t>
        </is>
      </c>
      <c r="K22" s="10" t="inlineStr">
        <is>
          <t>Origen de activación o referido conservado hasta contacto/cliente. W8 nace del cliente que invita.</t>
        </is>
      </c>
      <c r="L22" s="6" t="inlineStr">
        <is>
          <t>Táctica propuesta; publicación, accesos y resultados del piloto pendientes de validación.</t>
        </is>
      </c>
    </row>
    <row r="23" ht="49" customHeight="1">
      <c r="A23" s="5" t="inlineStr">
        <is>
          <t>T07</t>
        </is>
      </c>
      <c r="B23" s="10" t="inlineStr">
        <is>
          <t>Interactuar</t>
        </is>
      </c>
      <c r="C23" s="10" t="inlineStr">
        <is>
          <t>Correo y diagnóstico conectados</t>
        </is>
      </c>
      <c r="D23" s="10" t="inlineStr">
        <is>
          <t>Contacto identificado por negocio, zona e intención</t>
        </is>
      </c>
      <c r="E23" s="10" t="inlineStr">
        <is>
          <t>Guardar datos con permiso, enviar número de seguimiento, conservar avance y construir propuesta al terminar; mostrar en CRM correo, canal, zona y variación del puntaje.</t>
        </is>
      </c>
      <c r="F23" s="10" t="inlineStr">
        <is>
          <t>Correo documental + diagnóstico de tres pasos + propuesta personalizada.</t>
        </is>
      </c>
      <c r="G23" s="10" t="inlineStr">
        <is>
          <t>LM2, LM3</t>
        </is>
      </c>
      <c r="H23" s="10" t="inlineStr">
        <is>
          <t>contacto_identificado / diagnostico_terminado · W1, W2</t>
        </is>
      </c>
      <c r="I23" s="10" t="inlineStr">
        <is>
          <t>Calificación + Ventas + Logística</t>
        </is>
      </c>
      <c r="J23" s="10" t="inlineStr">
        <is>
          <t>K02, K03, K07</t>
        </is>
      </c>
      <c r="K23" s="10" t="inlineStr">
        <is>
          <t>Identificación, finalización y MQL; correo aceptado/clic si el proveedor lo confirma.</t>
        </is>
      </c>
      <c r="L23" s="6" t="inlineStr">
        <is>
          <t>Táctica propuesta; publicación, accesos y resultados del piloto pendientes de validación.</t>
        </is>
      </c>
    </row>
    <row r="24" ht="62" customHeight="1">
      <c r="A24" s="5" t="inlineStr">
        <is>
          <t>T08</t>
        </is>
      </c>
      <c r="B24" s="10" t="inlineStr">
        <is>
          <t>Interactuar</t>
        </is>
      </c>
      <c r="C24" s="10" t="inlineStr">
        <is>
          <t>Recuperación y nutrición por contexto</t>
        </is>
      </c>
      <c r="D24" s="10" t="inlineStr">
        <is>
          <t>Persona que dejó avance y no volvió</t>
        </is>
      </c>
      <c r="E24" s="10" t="inlineStr">
        <is>
          <t>W4 revisa inactividad a las 24 h y hace como máximo un aviso con la pieza de su negocio; W10 nutre a puntaje &lt;40 con permiso a los 3, 7 y 14 días. Remarketing solo con permiso y exclusiones actualizadas.</t>
        </is>
      </c>
      <c r="F24" s="10" t="inlineStr">
        <is>
          <t>Correo «Tu avance/propuesta te espera», guía por zona y audiencia autorizada.</t>
        </is>
      </c>
      <c r="G24" s="10" t="inlineStr">
        <is>
          <t>LM2, LM3</t>
        </is>
      </c>
      <c r="H24" s="10" t="inlineStr">
        <is>
          <t>inactividad_24h / nutricion_programada · W4, W10, W6</t>
        </is>
      </c>
      <c r="I24" s="10" t="inlineStr">
        <is>
          <t>Marketing + Calificación</t>
        </is>
      </c>
      <c r="J24" s="10" t="inlineStr">
        <is>
          <t>K03, K07, K09</t>
        </is>
      </c>
      <c r="K24" s="10" t="inlineStr">
        <is>
          <t>Avances retomados, propuesta aceptada y bajas; pausar recuperación al retomar o ser atendido.</t>
        </is>
      </c>
      <c r="L24" s="6" t="inlineStr">
        <is>
          <t>Táctica propuesta; publicación, accesos y resultados del piloto pendientes de validación.</t>
        </is>
      </c>
    </row>
    <row r="25" ht="62" customHeight="1">
      <c r="A25" s="5" t="inlineStr">
        <is>
          <t>T09</t>
        </is>
      </c>
      <c r="B25" s="10" t="inlineStr">
        <is>
          <t>Interactuar</t>
        </is>
      </c>
      <c r="C25" s="10" t="inlineStr">
        <is>
          <t>Conversación asistida y cierre humano</t>
        </is>
      </c>
      <c r="D25" s="10" t="inlineStr">
        <is>
          <t>Quien acepta, pregunta o compara extras</t>
        </is>
      </c>
      <c r="E25" s="10" t="inlineStr">
        <is>
          <t>IA explica recomendación y prepara resumen; la ejecutiva recibe conversación, propuesta y canal. Registrar respuesta y pausar IA/secuencias; revisar seguimiento a las 72 h solo si la propuesta sigue sin respuesta.</t>
        </is>
      </c>
      <c r="F25" s="10" t="inlineStr">
        <is>
          <t>Chat, correo, llamada o WhatsApp con una ficha y responsable; propuesta base/ampliada.</t>
        </is>
      </c>
      <c r="G25" s="10" t="inlineStr">
        <is>
          <t>LM3, LM4</t>
        </is>
      </c>
      <c r="H25" s="10" t="inlineStr">
        <is>
          <t>contacto_solicitado / propuesta_aceptada / respuesta_humana · W3, W5, W6</t>
        </is>
      </c>
      <c r="I25" s="10" t="inlineStr">
        <is>
          <t>Ventas + ejecutiva</t>
        </is>
      </c>
      <c r="J25" s="10" t="inlineStr">
        <is>
          <t>K04, K05, K06, K08, K09, K10</t>
        </is>
      </c>
      <c r="K25" s="10" t="inlineStr">
        <is>
          <t>Respuesta humana, SQL aceptado, aceptación y conversión; plazo de 5 min es hipótesis, no garantía.</t>
        </is>
      </c>
      <c r="L25" s="6" t="inlineStr">
        <is>
          <t>Táctica propuesta; publicación, accesos y resultados del piloto pendientes de validación.</t>
        </is>
      </c>
    </row>
    <row r="26" ht="49" customHeight="1">
      <c r="A26" s="5" t="inlineStr">
        <is>
          <t>T10</t>
        </is>
      </c>
      <c r="B26" s="10" t="inlineStr">
        <is>
          <t>Deleitar</t>
        </is>
      </c>
      <c r="C26" s="10" t="inlineStr">
        <is>
          <t>Reposición útil antes del quiebre</t>
        </is>
      </c>
      <c r="D26" s="10" t="inlineStr">
        <is>
          <t>Cliente activo con frecuencia conocida</t>
        </is>
      </c>
      <c r="E26" s="10" t="inlineStr">
        <is>
          <t>Usar frecuencia de compra para preparar último pedido; cliente revisa cantidades y confirma; Logística valida ruta. Ofrecer WhatsApp con permiso, manteniendo todo en la ficha.</t>
        </is>
      </c>
      <c r="F26" s="10" t="inlineStr">
        <is>
          <t>Aviso de reposición + borrador en portal + seguimiento del pedido.</t>
        </is>
      </c>
      <c r="G26" s="10" t="inlineStr">
        <is>
          <t>LM5</t>
        </is>
      </c>
      <c r="H26" s="10" t="inlineStr">
        <is>
          <t>frecuencia_cumplida / reposicion_confirmada · W7, W9</t>
        </is>
      </c>
      <c r="I26" s="10" t="inlineStr">
        <is>
          <t>Postventa + Logística</t>
        </is>
      </c>
      <c r="J26" s="10" t="inlineStr">
        <is>
          <t>K11, K12, K16, K27</t>
        </is>
      </c>
      <c r="K26" s="10" t="inlineStr">
        <is>
          <t>Reposición digital, frecuencia y entrega completa a tiempo; no enviar promoción si hay incidencia crítica.</t>
        </is>
      </c>
      <c r="L26" s="6" t="inlineStr">
        <is>
          <t>Táctica propuesta; publicación, accesos y resultados del piloto pendientes de validación.</t>
        </is>
      </c>
    </row>
    <row r="27" ht="49" customHeight="1">
      <c r="A27" s="5" t="inlineStr">
        <is>
          <t>T11</t>
        </is>
      </c>
      <c r="B27" s="10" t="inlineStr">
        <is>
          <t>Deleitar</t>
        </is>
      </c>
      <c r="C27" s="10" t="inlineStr">
        <is>
          <t>Servicio omnicanal con pausa comercial</t>
        </is>
      </c>
      <c r="D27" s="10" t="inlineStr">
        <is>
          <t>Cliente con problema en máquina, pedido o entrega</t>
        </is>
      </c>
      <c r="E27" s="10" t="inlineStr">
        <is>
          <t>Abrir ticket con número, adjuntos opcionales, criticidad y responsable; IA consulta estado y deriva con contexto; cliente confirma solución o reabre. Pausar ampliación y campañas.</t>
        </is>
      </c>
      <c r="F27" s="10" t="inlineStr">
        <is>
          <t>Portal/chat/WhatsApp → ticket único → estado y confirmación.</t>
        </is>
      </c>
      <c r="G27" s="10" t="inlineStr">
        <is>
          <t>LM5</t>
        </is>
      </c>
      <c r="H27" s="10" t="inlineStr">
        <is>
          <t>ticket_critico_abierto / incidencia_resuelta · W9, W6</t>
        </is>
      </c>
      <c r="I27" s="10" t="inlineStr">
        <is>
          <t>Postventa + Logística + ejecutiva</t>
        </is>
      </c>
      <c r="J27" s="10" t="inlineStr">
        <is>
          <t>K21, K27</t>
        </is>
      </c>
      <c r="K27" s="10" t="inlineStr">
        <is>
          <t>Primera respuesta y retención; estados verificables, sin prometer plazos no confirmados.</t>
        </is>
      </c>
      <c r="L27" s="6" t="inlineStr">
        <is>
          <t>Táctica propuesta; publicación, accesos y resultados del piloto pendientes de validación.</t>
        </is>
      </c>
    </row>
    <row r="28" ht="49" customHeight="1">
      <c r="A28" s="7" t="inlineStr">
        <is>
          <t>T12</t>
        </is>
      </c>
      <c r="B28" s="14" t="inlineStr">
        <is>
          <t>Deleitar</t>
        </is>
      </c>
      <c r="C28" s="14" t="inlineStr">
        <is>
          <t>Expansión y prueba social que alimentan la atracción</t>
        </is>
      </c>
      <c r="D28" s="14" t="inlineStr">
        <is>
          <t>Cliente satisfecho, sin incidencia crítica</t>
        </is>
      </c>
      <c r="E28" s="14" t="inlineStr">
        <is>
          <t>Recomendar tazas, material de marca o capacitación según operación; cliente elige. Invitar a referir si cumple Financial ≥70 y se aprueba beneficio; solicitar permiso antes de publicar su caso.</t>
        </is>
      </c>
      <c r="F28" s="14" t="inlineStr">
        <is>
          <t>Ampliación por necesidad, código de referido y caso documentado con permiso.</t>
        </is>
      </c>
      <c r="G28" s="14" t="inlineStr">
        <is>
          <t>LM4, LM6, LM7</t>
        </is>
      </c>
      <c r="H28" s="14" t="inlineStr">
        <is>
          <t>interes_servicio / referido_atribuido · W8, W3</t>
        </is>
      </c>
      <c r="I28" s="14" t="inlineStr">
        <is>
          <t>Postventa + Marketing + jefatura</t>
        </is>
      </c>
      <c r="J28" s="14" t="inlineStr">
        <is>
          <t>K13, K15, K27, K30, K31</t>
        </is>
      </c>
      <c r="K28" s="14" t="inlineStr">
        <is>
          <t>Ticket, amplitud, margen y referidos convertidos; contrastar calidad de origen para mejorar atracción.</t>
        </is>
      </c>
      <c r="L28" s="8" t="inlineStr">
        <is>
          <t>Táctica propuesta; publicación, accesos y resultados del piloto pendientes de validación.</t>
        </is>
      </c>
    </row>
    <row r="29" ht="23" customHeight="1"/>
    <row r="30" ht="30" customHeight="1">
      <c r="A30" s="4" t="inlineStr">
        <is>
          <t>Canal / táctica</t>
        </is>
      </c>
      <c r="B30" s="4" t="inlineStr">
        <is>
          <t>Segmento</t>
        </is>
      </c>
      <c r="C30" s="4" t="inlineStr">
        <is>
          <t>Intención o idea</t>
        </is>
      </c>
      <c r="D30" s="4" t="inlineStr">
        <is>
          <t>Destino o activo</t>
        </is>
      </c>
      <c r="E30" s="4" t="inlineStr">
        <is>
          <t>Ejemplo de pieza / estructura</t>
        </is>
      </c>
      <c r="F30" s="4" t="inlineStr">
        <is>
          <t>Valor y siguiente acción</t>
        </is>
      </c>
      <c r="G30" s="4" t="inlineStr">
        <is>
          <t>Evento y automatización</t>
        </is>
      </c>
      <c r="H30" s="4" t="inlineStr">
        <is>
          <t>Indicador</t>
        </is>
      </c>
      <c r="I30" s="4" t="inlineStr">
        <is>
          <t>Control</t>
        </is>
      </c>
    </row>
    <row r="31" ht="49" customHeight="1">
      <c r="A31" s="5" t="inlineStr">
        <is>
          <t>SEO · T01/T02</t>
        </is>
      </c>
      <c r="B31" s="10" t="inlineStr">
        <is>
          <t>Hoteles</t>
        </is>
      </c>
      <c r="C31" s="10" t="inlineStr">
        <is>
          <t>Máquina de café para hotel; café para desayuno y habitaciones</t>
        </is>
      </c>
      <c r="D31" s="10" t="inlineStr">
        <is>
          <t>/empresas/hoteles (URL propuesta)</t>
        </is>
      </c>
      <c r="E31" s="10" t="inlineStr">
        <is>
          <t>Título/H1 sobre café para hoteles; comparar Bar para desayuno y Pods para habitaciones; preguntas visibles sobre operación, sin tarifas inventadas.</t>
        </is>
      </c>
      <c r="F31" s="10" t="inlineStr">
        <is>
          <t>LM1: ver solución de su hotel → Ver mi solución</t>
        </is>
      </c>
      <c r="G31" s="10" t="inlineStr">
        <is>
          <t>visita_organica_empresas → contacto_identificado / W1; diagnóstico / W2</t>
        </is>
      </c>
      <c r="H31" s="10" t="inlineStr">
        <is>
          <t>K01 visitas; K02 identificación; K07 MQL</t>
        </is>
      </c>
      <c r="I31" s="6" t="inlineStr">
        <is>
          <t>Publicar URL indexable, canonical y enlaces; validar sitemap/Search Console. No publicar el portal ni depender del hash local.</t>
        </is>
      </c>
    </row>
    <row r="32" ht="36" customHeight="1">
      <c r="A32" s="5" t="inlineStr">
        <is>
          <t>SEO · T01/T02</t>
        </is>
      </c>
      <c r="B32" s="10" t="inlineStr">
        <is>
          <t>Restaurantes</t>
        </is>
      </c>
      <c r="C32" s="10" t="inlineStr">
        <is>
          <t>Máquina de café para restaurante; café de sobremesa</t>
        </is>
      </c>
      <c r="D32" s="10" t="inlineStr">
        <is>
          <t>/empresas/restaurantes (URL propuesta)</t>
        </is>
      </c>
      <c r="E32" s="10" t="inlineStr">
        <is>
          <t>Contenido sobre servicio de sobremesa; comparar Pods sin barista y Bar con equipo; explicar arriendo y compra directa.</t>
        </is>
      </c>
      <c r="F32" s="10" t="inlineStr">
        <is>
          <t>LM1: comparación útil → Ver mi solución</t>
        </is>
      </c>
      <c r="G32" s="10" t="inlineStr">
        <is>
          <t>visita_organica_empresas → W1 al dejar datos; W2 al completar negocio/comuna</t>
        </is>
      </c>
      <c r="H32" s="10" t="inlineStr">
        <is>
          <t>K01, K02, K07</t>
        </is>
      </c>
      <c r="I32" s="6" t="inlineStr">
        <is>
          <t>Vincular catálogo y guía; preguntas propias del negocio. No prometer posiciones ni resultados enriquecidos.</t>
        </is>
      </c>
    </row>
    <row r="33" ht="36" customHeight="1">
      <c r="A33" s="5" t="inlineStr">
        <is>
          <t>SEO · T01/T02</t>
        </is>
      </c>
      <c r="B33" s="10" t="inlineStr">
        <is>
          <t>Cafeterías</t>
        </is>
      </c>
      <c r="C33" s="10" t="inlineStr">
        <is>
          <t>Café en grano para cafetería; arriendo o compra de máquina profesional</t>
        </is>
      </c>
      <c r="D33" s="10" t="inlineStr">
        <is>
          <t>/empresas/cafeterias (URL propuesta)</t>
        </is>
      </c>
      <c r="E33" s="10" t="inlineStr">
        <is>
          <t>Página de barra, consumo y capacitación; explicar costo mensual frente a pago único, café y extras por separado.</t>
        </is>
      </c>
      <c r="F33" s="10" t="inlineStr">
        <is>
          <t>LM1/LM3: recomendación según operación → Ver propuesta</t>
        </is>
      </c>
      <c r="G33" s="10" t="inlineStr">
        <is>
          <t>visita_organica_empresas → W1/W2 → propuesta vista</t>
        </is>
      </c>
      <c r="H33" s="10" t="inlineStr">
        <is>
          <t>K01, K02, K07, K08</t>
        </is>
      </c>
      <c r="I33" s="6" t="inlineStr">
        <is>
          <t>Producto y disponibilidad verificados para producción; rangos académicos no se publican como oferta real.</t>
        </is>
      </c>
    </row>
    <row r="34" ht="36" customHeight="1">
      <c r="A34" s="5" t="inlineStr">
        <is>
          <t>SEO · T01/T02</t>
        </is>
      </c>
      <c r="B34" s="10" t="inlineStr">
        <is>
          <t>Eventos y catering</t>
        </is>
      </c>
      <c r="C34" s="10" t="inlineStr">
        <is>
          <t>Coffee break para empresas; servicio de café para eventos</t>
        </is>
      </c>
      <c r="D34" s="10" t="inlineStr">
        <is>
          <t>/empresas/eventos (URL propuesta)</t>
        </is>
      </c>
      <c r="E34" s="10" t="inlineStr">
        <is>
          <t>Contenido sobre volumen, duración y servicio con barista o autoservicio; condiciones y cobertura por confirmar.</t>
        </is>
      </c>
      <c r="F34" s="10" t="inlineStr">
        <is>
          <t>LM1: imaginar el servicio → Ver mi solución</t>
        </is>
      </c>
      <c r="G34" s="10" t="inlineStr">
        <is>
          <t>visita_organica_empresas → W1/W2</t>
        </is>
      </c>
      <c r="H34" s="10" t="inlineStr">
        <is>
          <t>K01, K02, K07</t>
        </is>
      </c>
      <c r="I34" s="6" t="inlineStr">
        <is>
          <t>Casos y fotografías reales solo con evidencia y permiso; rotular recreaciones del prototipo.</t>
        </is>
      </c>
    </row>
    <row r="35" ht="49" customHeight="1">
      <c r="A35" s="5" t="inlineStr">
        <is>
          <t>SEM · T03</t>
        </is>
      </c>
      <c r="B35" s="10" t="inlineStr">
        <is>
          <t>Demanda de arriendo</t>
        </is>
      </c>
      <c r="C35" s="10" t="inlineStr">
        <is>
          <t>Campaña Search Empresas / grupo Arriendo</t>
        </is>
      </c>
      <c r="D35" s="10" t="inlineStr">
        <is>
          <t>/empresas/maquinas (URL propuesta; selección arriendo)</t>
        </is>
      </c>
      <c r="E35" s="10" t="inlineStr">
        <is>
          <t>Anuncio ejemplo: «Café para tu negocio · Compara máquinas en arriendo». Términos por validar: arriendo máquina café empresa/hotel.</t>
        </is>
      </c>
      <c r="F35" s="10" t="inlineStr">
        <is>
          <t>LM1: comparador → Ver mi solución</t>
        </is>
      </c>
      <c r="G35" s="10" t="inlineStr">
        <is>
          <t>visita_campana_empresas con UTM → W1/W2</t>
        </is>
      </c>
      <c r="H35" s="10" t="inlineStr">
        <is>
          <t>K01, K02, K07; costo por MQL y venta por levantar</t>
        </is>
      </c>
      <c r="I35" s="6" t="inlineStr">
        <is>
          <t>Presupuesto y puja sin definir. Revisar negativas de empleo, uso doméstico o búsquedas no atendibles antes de excluir; no anunciar beneficios no confirmados.</t>
        </is>
      </c>
    </row>
    <row r="36" ht="36" customHeight="1">
      <c r="A36" s="5" t="inlineStr">
        <is>
          <t>SEM · T03</t>
        </is>
      </c>
      <c r="B36" s="10" t="inlineStr">
        <is>
          <t>Demanda de compra</t>
        </is>
      </c>
      <c r="C36" s="10" t="inlineStr">
        <is>
          <t>Campaña Search Empresas / grupo Compra directa</t>
        </is>
      </c>
      <c r="D36" s="10" t="inlineStr">
        <is>
          <t>/empresas/maquinas (URL propuesta; selección compra)</t>
        </is>
      </c>
      <c r="E36" s="10" t="inlineStr">
        <is>
          <t>Anuncio ejemplo: «Máquina de café para tu negocio · Evalúa compra directa». Comparación con pago único y café aparte.</t>
        </is>
      </c>
      <c r="F36" s="10" t="inlineStr">
        <is>
          <t>LM1/LM3: comparar modalidades → Ver propuesta</t>
        </is>
      </c>
      <c r="G36" s="10" t="inlineStr">
        <is>
          <t>visita_campana_empresas → W1/W2 → W3 al aceptar o pedir contacto</t>
        </is>
      </c>
      <c r="H36" s="10" t="inlineStr">
        <is>
          <t>K01, K02, K07, K09</t>
        </is>
      </c>
      <c r="I36" s="6" t="inlineStr">
        <is>
          <t>Stock, precio y condiciones reales antes de activar. No usar los montos de demostración como oferta publicitaria.</t>
        </is>
      </c>
    </row>
    <row r="37" ht="49" customHeight="1">
      <c r="A37" s="5" t="inlineStr">
        <is>
          <t>SEM · T03</t>
        </is>
      </c>
      <c r="B37" s="10" t="inlineStr">
        <is>
          <t>Café y servicios HORECA</t>
        </is>
      </c>
      <c r="C37" s="10" t="inlineStr">
        <is>
          <t>Campaña Search Empresas / grupo Café HORECA</t>
        </is>
      </c>
      <c r="D37" s="10" t="inlineStr">
        <is>
          <t>Página del negocio correspondiente (URLs propuestas)</t>
        </is>
      </c>
      <c r="E37" s="10" t="inlineStr">
        <is>
          <t>Anuncio según hotel, restaurante, cafetería o evento; consulta y destino coherentes. Términos reales y negativas se revisan en el piloto.</t>
        </is>
      </c>
      <c r="F37" s="10" t="inlineStr">
        <is>
          <t>LM1: solución de su negocio → Diagnóstico breve</t>
        </is>
      </c>
      <c r="G37" s="10" t="inlineStr">
        <is>
          <t>visita_campana_empresas → W1/W2; venta confirmada al CRM y medición autorizada</t>
        </is>
      </c>
      <c r="H37" s="10" t="inlineStr">
        <is>
          <t>K01, K02, K07, K09; atribución a venta por validar</t>
        </is>
      </c>
      <c r="I37" s="6" t="inlineStr">
        <is>
          <t>Data Manager se propone para conversiones posteriores; requiere acceso, acción de conversión y consentimiento. No se crea campaña ni gasto en esta entrega.</t>
        </is>
      </c>
    </row>
    <row r="38" ht="49" customHeight="1">
      <c r="A38" s="5" t="inlineStr">
        <is>
          <t>Orgánico · LinkedIn · T04</t>
        </is>
      </c>
      <c r="B38" s="10" t="inlineStr">
        <is>
          <t>Administración de hoteles/restaurantes</t>
        </is>
      </c>
      <c r="C38" s="10" t="inlineStr">
        <is>
          <t>Carrusel: «Qué revisar antes de elegir el café de tu local»</t>
        </is>
      </c>
      <c r="D38" s="10" t="inlineStr">
        <is>
          <t>Publicación con UTM a /empresas y página de negocio</t>
        </is>
      </c>
      <c r="E38" s="10" t="inlineStr">
        <is>
          <t>5 láminas: operación, volumen, forma de servicio, modalidad y siguiente paso. Foto de producto oficial y escena demostrativa identificada.</t>
        </is>
      </c>
      <c r="F38" s="10" t="inlineStr">
        <is>
          <t>LM1: lista útil para comparar → Ver mi solución</t>
        </is>
      </c>
      <c r="G38" s="10" t="inlineStr">
        <is>
          <t>visita_social_empresas → W1 solo al dejar contacto con permiso</t>
        </is>
      </c>
      <c r="H38" s="10" t="inlineStr">
        <is>
          <t>K01 tráfico referido; K02; K07; guardados/interacciones como apoyo</t>
        </is>
      </c>
      <c r="I38" s="6" t="inlineStr">
        <is>
          <t>Contenido educativo, sin testimonios ni mejoras cuantificadas inventadas. Llevar cada pieza al destino correspondiente.</t>
        </is>
      </c>
    </row>
    <row r="39" ht="49" customHeight="1">
      <c r="A39" s="7" t="inlineStr">
        <is>
          <t>Orgánico · Instagram · T05</t>
        </is>
      </c>
      <c r="B39" s="14" t="inlineStr">
        <is>
          <t>Operadores de cafeterías y eventos</t>
        </is>
      </c>
      <c r="C39" s="14" t="inlineStr">
        <is>
          <t>Clip breve: café servido y máquina según el contexto</t>
        </is>
      </c>
      <c r="D39" s="14" t="inlineStr">
        <is>
          <t>Video por negocio con enlace/UTM a destino propuesto</t>
        </is>
      </c>
      <c r="E39" s="14" t="inlineStr">
        <is>
          <t>Ejemplo: 12–20 s de preparación, beneficio operativo claro y cierre de una acción. Un producto protagonista y texto legible sin sonido.</t>
        </is>
      </c>
      <c r="F39" s="14" t="inlineStr">
        <is>
          <t>LM1: visualizar experiencia → Comparar solución</t>
        </is>
      </c>
      <c r="G39" s="14" t="inlineStr">
        <is>
          <t>visita_social_empresas → W1/W2; consulta por chat conserva referencia</t>
        </is>
      </c>
      <c r="H39" s="14" t="inlineStr">
        <is>
          <t>K01, K02, K07; reproducción y guardados como apoyo</t>
        </is>
      </c>
      <c r="I39" s="8" t="inlineStr">
        <is>
          <t>Mostrar equipo coherente; piezas de recreación se identifican. No presentar escenas generadas como clientes o casos de éxito reales.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H2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52" customWidth="1" min="3" max="3"/>
    <col width="14" customWidth="1" min="4" max="4"/>
    <col width="36" customWidth="1" min="5" max="5"/>
    <col width="24" customWidth="1" min="6" max="6"/>
    <col width="20" customWidth="1" min="7" max="7"/>
    <col width="22" customWidth="1" min="8" max="8"/>
  </cols>
  <sheetData>
    <row r="1" ht="28" customHeight="1">
      <c r="A1" s="1" t="inlineStr">
        <is>
          <t>Plan de test de usabilidad (ronda 1 realizada el 15-10-2026)</t>
        </is>
      </c>
      <c r="B1" s="2" t="n"/>
      <c r="C1" s="2" t="n"/>
      <c r="D1" s="2" t="n"/>
      <c r="E1" s="2" t="n"/>
      <c r="F1" s="2" t="n"/>
      <c r="G1" s="2" t="n"/>
      <c r="H1" s="2" t="n"/>
    </row>
    <row r="2" ht="39" customHeight="1">
      <c r="A2" s="3" t="inlineStr">
        <is>
          <t>Test moderado, pensando en voz alta, dentro del prototipo («Iniciar test»). Ronda 1: 5 participantes con código (sin nombres): P1 computador, P2 y P3 celular en el sitio (T1, con las palabras de su negocio); P4 computador (T7) y P5 celular (T9) en el CRM. Nielsen (2000) [23] recomienda 5 por ronda. Una tarea por persona: las demás quedan como recorrido de diseño. Registro automático de tiempo, toques, SEQ y SUS; mapa de calor. Ronda 2 con 2 o 3 personas después de los cambios v6 (hoja 22).</t>
        </is>
      </c>
    </row>
    <row r="3"/>
    <row r="4" ht="30" customHeight="1">
      <c r="A4" s="4" t="inlineStr">
        <is>
          <t>ID</t>
        </is>
      </c>
      <c r="B4" s="4" t="inlineStr">
        <is>
          <t>Rol</t>
        </is>
      </c>
      <c r="C4" s="4" t="inlineStr">
        <is>
          <t>Tarea (se lee al participante)</t>
        </is>
      </c>
      <c r="D4" s="4" t="inlineStr">
        <is>
          <t>Pantallas</t>
        </is>
      </c>
      <c r="E4" s="4" t="inlineStr">
        <is>
          <t>Criterio de éxito</t>
        </is>
      </c>
      <c r="F4" s="4" t="inlineStr">
        <is>
          <t>Métricas</t>
        </is>
      </c>
      <c r="G4" s="4" t="inlineStr">
        <is>
          <t>Umbral</t>
        </is>
      </c>
      <c r="H4" s="4" t="inlineStr">
        <is>
          <t>Ronda 1 (15-10)</t>
        </is>
      </c>
    </row>
    <row r="5">
      <c r="A5" s="5" t="inlineStr">
        <is>
          <t>T1</t>
        </is>
      </c>
      <c r="B5" s="10" t="inlineStr">
        <is>
          <t>Cliente</t>
        </is>
      </c>
      <c r="C5" s="10" t="inlineStr">
        <is>
          <t>Tienes un hotel (o restaurante, cafetería, eventos) y quieres cambiar el café. Desde esta página, busca cómo pedir una propuesta para tu negocio.</t>
        </is>
      </c>
      <c r="D5" s="10" t="inlineStr">
        <is>
          <t>C01 → C02 (LM1)</t>
        </is>
      </c>
      <c r="E5" s="10" t="inlineStr">
        <is>
          <t>Llega a la propuesta sin ayuda</t>
        </is>
      </c>
      <c r="F5" s="10" t="inlineStr">
        <is>
          <t>Éxito, tiempo por etapa, toques, SEQ</t>
        </is>
      </c>
      <c r="G5" s="10" t="inlineStr">
        <is>
          <t>≥ 80 % sin ayuda</t>
        </is>
      </c>
      <c r="H5" s="6" t="inlineStr">
        <is>
          <t>Medida: P1, P2 y P3</t>
        </is>
      </c>
    </row>
    <row r="6">
      <c r="A6" s="5" t="inlineStr">
        <is>
          <t>T2</t>
        </is>
      </c>
      <c r="B6" s="10" t="inlineStr">
        <is>
          <t>Cliente</t>
        </is>
      </c>
      <c r="C6" s="10" t="inlineStr">
        <is>
          <t>Deja tus datos, marca tu negocio y mira tu propuesta. No sabes cuántas tazas sirves al día.</t>
        </is>
      </c>
      <c r="D6" s="10" t="inlineStr">
        <is>
          <t>C03 → C04 → C05 (LM2, LM3)</t>
        </is>
      </c>
      <c r="E6" s="10" t="inlineStr">
        <is>
          <t>Deja sus datos, termina los 3 pasos y ve su propuesta</t>
        </is>
      </c>
      <c r="F6" s="10" t="inlineStr">
        <is>
          <t>Éxito, tiempo en los datos, toques, SEQ</t>
        </is>
      </c>
      <c r="G6" s="10" t="inlineStr">
        <is>
          <t>≥ 80 %; datos ≤ 30 s; pasos ≤ 25 s y ≤ 8 toques</t>
        </is>
      </c>
      <c r="H6" s="6" t="inlineStr">
        <is>
          <t>Recorrido de diseño (dentro de T1)</t>
        </is>
      </c>
    </row>
    <row r="7">
      <c r="A7" s="5" t="inlineStr">
        <is>
          <t>T3</t>
        </is>
      </c>
      <c r="B7" s="10" t="inlineStr">
        <is>
          <t>Cliente</t>
        </is>
      </c>
      <c r="C7" s="10" t="inlineStr">
        <is>
          <t>Acepta tu propuesta o pide hablar con una persona, y cuéntale al moderador qué pasará después.</t>
        </is>
      </c>
      <c r="D7" s="10" t="inlineStr">
        <is>
          <t>C05 → C06 (LM4)</t>
        </is>
      </c>
      <c r="E7" s="10" t="inlineStr">
        <is>
          <t>Acepta o pide hablar sin que le vuelvan a pedir sus datos, y describe el siguiente paso</t>
        </is>
      </c>
      <c r="F7" s="10" t="inlineStr">
        <is>
          <t>Éxito, comprensión</t>
        </is>
      </c>
      <c r="G7" s="10" t="inlineStr">
        <is>
          <t>≥ 80 %</t>
        </is>
      </c>
      <c r="H7" s="6" t="inlineStr">
        <is>
          <t>Recorrido de diseño (dentro de T1)</t>
        </is>
      </c>
    </row>
    <row r="8">
      <c r="A8" s="5" t="inlineStr">
        <is>
          <t>T4</t>
        </is>
      </c>
      <c r="B8" s="10" t="inlineStr">
        <is>
          <t>Cliente</t>
        </is>
      </c>
      <c r="C8" s="10" t="inlineStr">
        <is>
          <t>En tu portal, pregunta si tienen tazas con la marca. Después, cambia la forma de contacto por otra.</t>
        </is>
      </c>
      <c r="D8" s="10" t="inlineStr">
        <is>
          <t>C06 (LM4)</t>
        </is>
      </c>
      <c r="E8" s="10" t="inlineStr">
        <is>
          <t>Envía el mensaje y cambia de canal sin perder la conversación</t>
        </is>
      </c>
      <c r="F8" s="10" t="inlineStr">
        <is>
          <t>Éxito, errores, SEQ</t>
        </is>
      </c>
      <c r="G8" s="10" t="inlineStr">
        <is>
          <t>≥ 80 %</t>
        </is>
      </c>
      <c r="H8" s="6" t="inlineStr">
        <is>
          <t>Recorrido de diseño (no medida)</t>
        </is>
      </c>
    </row>
    <row r="9">
      <c r="A9" s="5" t="inlineStr">
        <is>
          <t>T5</t>
        </is>
      </c>
      <c r="B9" s="10" t="inlineStr">
        <is>
          <t>Cliente</t>
        </is>
      </c>
      <c r="C9" s="10" t="inlineStr">
        <is>
          <t>Ajusta tu propuesta para que incluya tazas Marley Coffee y acéptala.</t>
        </is>
      </c>
      <c r="D9" s="10" t="inlineStr">
        <is>
          <t>C05 → C07 (LM4)</t>
        </is>
      </c>
      <c r="E9" s="10" t="inlineStr">
        <is>
          <t>Acepta la ampliada</t>
        </is>
      </c>
      <c r="F9" s="10" t="inlineStr">
        <is>
          <t>Éxito, tiempo en la propuesta</t>
        </is>
      </c>
      <c r="G9" s="10" t="inlineStr">
        <is>
          <t>≥ 80 %; ≤ 30 s</t>
        </is>
      </c>
      <c r="H9" s="6" t="inlineStr">
        <is>
          <t>Recorrido de diseño (dentro de T1)</t>
        </is>
      </c>
    </row>
    <row r="10">
      <c r="A10" s="5" t="inlineStr">
        <is>
          <t>T6</t>
        </is>
      </c>
      <c r="B10" s="10" t="inlineStr">
        <is>
          <t>Cliente activo</t>
        </is>
      </c>
      <c r="C10" s="10" t="inlineStr">
        <is>
          <t>Ahora imagina que ya eres cliente de Marley Coffee. Pide lo mismo que la última vez.</t>
        </is>
      </c>
      <c r="D10" s="10" t="inlineStr">
        <is>
          <t>C09 (LM5)</t>
        </is>
      </c>
      <c r="E10" s="10" t="inlineStr">
        <is>
          <t>Usa «Repetir último pedido»</t>
        </is>
      </c>
      <c r="F10" s="10" t="inlineStr">
        <is>
          <t>Éxito, tiempo, clics</t>
        </is>
      </c>
      <c r="G10" s="10" t="inlineStr">
        <is>
          <t>≥ 80 %</t>
        </is>
      </c>
      <c r="H10" s="6" t="inlineStr">
        <is>
          <t>Recorrido de diseño (no medida)</t>
        </is>
      </c>
    </row>
    <row r="11">
      <c r="A11" s="5" t="inlineStr">
        <is>
          <t>T7</t>
        </is>
      </c>
      <c r="B11" s="10" t="inlineStr">
        <is>
          <t>Ejecutiva</t>
        </is>
      </c>
      <c r="C11" s="10" t="inlineStr">
        <is>
          <t>Eres ejecutiva de Marley Coffee: ingresa al CRM con tu cuenta. Un cliente te está esperando en el chat. Atiéndelo y respóndele.</t>
        </is>
      </c>
      <c r="D11" s="10" t="inlineStr">
        <is>
          <t>R00 → R01 → R02</t>
        </is>
      </c>
      <c r="E11" s="10" t="inlineStr">
        <is>
          <t>Toma la conversación y responde (o envía la propuesta sugerida)</t>
        </is>
      </c>
      <c r="F11" s="10" t="inlineStr">
        <is>
          <t>Éxito, tiempo, SEQ</t>
        </is>
      </c>
      <c r="G11" s="10" t="inlineStr">
        <is>
          <t>≥ 80 %; ≤ 60 s</t>
        </is>
      </c>
      <c r="H11" s="6" t="inlineStr">
        <is>
          <t>Medida: P4</t>
        </is>
      </c>
    </row>
    <row r="12">
      <c r="A12" s="5" t="inlineStr">
        <is>
          <t>T8</t>
        </is>
      </c>
      <c r="B12" s="10" t="inlineStr">
        <is>
          <t>Ejecutiva</t>
        </is>
      </c>
      <c r="C12" s="10" t="inlineStr">
        <is>
          <t>Averigua cada cuánto compra el Hotel Mirador Andino y cuánto gasta en promedio. Dile la respuesta al moderador.</t>
        </is>
      </c>
      <c r="D12" s="10" t="inlineStr">
        <is>
          <t>R03 → R04</t>
        </is>
      </c>
      <c r="E12" s="10" t="inlineStr">
        <is>
          <t>Responde frecuencia y ticket promedio</t>
        </is>
      </c>
      <c r="F12" s="10" t="inlineStr">
        <is>
          <t>Éxito, tiempo</t>
        </is>
      </c>
      <c r="G12" s="10" t="inlineStr">
        <is>
          <t>≥ 80 %</t>
        </is>
      </c>
      <c r="H12" s="6" t="inlineStr">
        <is>
          <t>Recorrido de diseño (no medida)</t>
        </is>
      </c>
    </row>
    <row r="13">
      <c r="A13" s="7" t="inlineStr">
        <is>
          <t>T9</t>
        </is>
      </c>
      <c r="B13" s="14" t="inlineStr">
        <is>
          <t>Jefatura</t>
        </is>
      </c>
      <c r="C13" s="14" t="inlineStr">
        <is>
          <t>Eres jefatura: ingresa al CRM con tu cuenta. ¿Cuántos clientes están comprando y cuántos SQL hay? ¿Qué zona trae más MQL? Dile la respuesta al moderador.</t>
        </is>
      </c>
      <c r="D13" s="14" t="inlineStr">
        <is>
          <t>R00 → R05 / R06</t>
        </is>
      </c>
      <c r="E13" s="14" t="inlineStr">
        <is>
          <t>Responde los tres datos</t>
        </is>
      </c>
      <c r="F13" s="14" t="inlineStr">
        <is>
          <t>Éxito, tiempo, SEQ</t>
        </is>
      </c>
      <c r="G13" s="14" t="inlineStr">
        <is>
          <t>≥ 80 %; ≤ 45 s</t>
        </is>
      </c>
      <c r="H13" s="8" t="inlineStr">
        <is>
          <t>Medida: P5</t>
        </is>
      </c>
    </row>
    <row r="14"/>
    <row r="15">
      <c r="A15" s="20" t="inlineStr">
        <is>
          <t>Severidad (Nielsen 1994 [22]): 0 no es problema · 1 cosmético · 2 menor · 3 mayor · 4 catástrofe (corregir antes de lanzar). Se califica por frecuencia, impacto y persistencia.</t>
        </is>
      </c>
    </row>
    <row r="16"/>
    <row r="17" ht="18" customHeight="1">
      <c r="A17" s="33" t="inlineStr">
        <is>
          <t>Guion de moderación (25 a 40 min)</t>
        </is>
      </c>
      <c r="C17" s="34" t="inlineStr"/>
    </row>
    <row r="18" ht="48" customHeight="1">
      <c r="A18" s="34" t="inlineStr">
        <is>
          <t>0. Participantes y equipos</t>
        </is>
      </c>
      <c r="C18" s="34" t="inlineStr">
        <is>
          <t>Ronda 1 (15-10-2026): P1 computador, P2 y P3 celular en el sitio (T1); P4 computador (T7) y P5 celular (T9) en el CRM. El perfil se elige al empezar y la tarea se cuenta con las palabras de su negocio. Moderador con la guía Guia_Test_Usabilidad.html y el servidor del kit (Iniciar_test.bat): sin el servidor solo queda el PDF (así pasó en la ronda 1).</t>
        </is>
      </c>
    </row>
    <row r="19" ht="48" customHeight="1">
      <c r="A19" s="34" t="inlineStr">
        <is>
          <t>1. Bienvenida (2 min)</t>
        </is>
      </c>
      <c r="C19" s="34" t="inlineStr">
        <is>
          <t>«Gracias por ayudarnos. Vamos a probar un sitio en construcción, no a ti: no hay respuestas correctas. Piensa en voz alta: cuéntanos qué miras, qué esperas y qué te confunde. Te grabaremos solo con tu permiso.» Firmar consentimiento (Instrumentos_Terreno/E_CONSENTIMIENTO).</t>
        </is>
      </c>
    </row>
    <row r="20" ht="48" customHeight="1">
      <c r="A20" s="34" t="inlineStr">
        <is>
          <t>2. Contexto (3 min)</t>
        </is>
      </c>
      <c r="C20" s="34" t="inlineStr">
        <is>
          <t>¿Qué tipo de negocio tienes o administras? ¿Cómo compran hoy el café y cómo lo reponen? ¿Con quién hablan cuando necesitan algo del proveedor?</t>
        </is>
      </c>
    </row>
    <row r="21" ht="48" customHeight="1">
      <c r="A21" s="34" t="inlineStr">
        <is>
          <t>3. Tarea (5 a 10 min)</t>
        </is>
      </c>
      <c r="C21" s="34" t="inlineStr">
        <is>
          <t>Una tarea por persona. El prototipo la muestra tal cual (columna C) y mide el tiempo por etapa, los toques y los toques sin respuesta. No mostrar dónde tocar. Si pasan 2 minutos sin avance o pide ayuda, ofrecer una pista y marcar éxito 0,5. Al terminar pregunta el SEQ (1 a 7). El informe PDF trae los tiempos por etapa y el mapa de calor; los CSV van a 08_TEST_REGISTRO.</t>
        </is>
      </c>
    </row>
    <row r="22" ht="48" customHeight="1">
      <c r="A22" s="34" t="inlineStr">
        <is>
          <t>4. Cierre (5 min)</t>
        </is>
      </c>
      <c r="C22" s="34" t="inlineStr">
        <is>
          <t>Cuestionario SUS (09_SUS). Preguntas: ¿Qué fue lo más útil? ¿Qué te hizo dudar? ¿Preferirías chat, llamada o correo, y por qué? ¿Qué te faltó para decidir?</t>
        </is>
      </c>
    </row>
    <row r="23" ht="48" customHeight="1">
      <c r="A23" s="34" t="inlineStr">
        <is>
          <t>5. Después de la sesión</t>
        </is>
      </c>
      <c r="C23" s="34" t="inlineStr">
        <is>
          <t>Pasar cada fricción a 10_HALLAZGOS con frecuencia, impacto, persistencia y severidad 0–4. Separar cita textual, observación e interpretación. No completar con supuestos lo que no se observó.</t>
        </is>
      </c>
    </row>
    <row r="24" ht="48" customHeight="1">
      <c r="A24" s="34" t="inlineStr">
        <is>
          <t>Equipo comercial (T7–T9)</t>
        </is>
      </c>
      <c r="C24" s="34" t="inlineStr">
        <is>
          <t>Con P1 en computador: abrir test_crm.html y seguir T7 a T9 igual. Preguntar al final: ¿qué dato te falta para atender mejor?</t>
        </is>
      </c>
    </row>
    <row r="25" ht="48" customHeight="1">
      <c r="A25" s="34" t="inlineStr">
        <is>
          <t>Lead magnets</t>
        </is>
      </c>
      <c r="C25" s="34" t="inlineStr">
        <is>
          <t>Observar si el participante lee el recuadro «Lo que recibes» antes de cada paso (LM1 a LM5) y preguntar al final: ¿qué te hizo seguir? ¿Qué esperabas recibir? Registrar citas en 10_HALLAZGOS.</t>
        </is>
      </c>
    </row>
  </sheetData>
  <mergeCells count="1">
    <mergeCell ref="A2:H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P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9" customWidth="1" min="8" max="8"/>
    <col width="8" customWidth="1" min="9" max="9"/>
    <col width="10" customWidth="1" min="10" max="10"/>
    <col width="10" customWidth="1" min="11" max="11"/>
    <col width="11" customWidth="1" min="12" max="12"/>
    <col width="11" customWidth="1" min="13" max="13"/>
    <col width="18" customWidth="1" min="14" max="14"/>
    <col width="8" customWidth="1" min="15" max="15"/>
    <col width="70" customWidth="1" min="16" max="16"/>
  </cols>
  <sheetData>
    <row r="1" ht="28" customHeight="1">
      <c r="A1" s="1" t="inlineStr">
        <is>
          <t>Registro por participante y tarea · ronda 1 (15-10-2026)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26" customHeight="1">
      <c r="A2" s="3" t="inlineStr">
        <is>
          <t>Éxito: 1 = sin ayuda · 0,5 = con ayuda · 0 = no logra. Tiempo en segundos. SEQ 1 (muy difícil) a 7 (muy fácil). Fuente: informes PDF del test integrado, 15-10-2026, 00:07 a 01:01. Participantes con código, sin nombres. En blanco = no registrado (sin el servidor del kit no se guardaron los CSV).</t>
        </is>
      </c>
    </row>
    <row r="3"/>
    <row r="4" ht="30" customHeight="1">
      <c r="A4" s="4" t="inlineStr">
        <is>
          <t>Participante</t>
        </is>
      </c>
      <c r="B4" s="4" t="inlineStr">
        <is>
          <t>Perfil / rol</t>
        </is>
      </c>
      <c r="C4" s="4" t="inlineStr">
        <is>
          <t>Dispositivo</t>
        </is>
      </c>
      <c r="D4" s="4" t="inlineStr">
        <is>
          <t>Tarea</t>
        </is>
      </c>
      <c r="E4" s="4" t="inlineStr">
        <is>
          <t>Éxito (1 / 0,5 / 0)</t>
        </is>
      </c>
      <c r="F4" s="4" t="inlineStr">
        <is>
          <t>Tiempo (s)</t>
        </is>
      </c>
      <c r="G4" s="4" t="inlineStr">
        <is>
          <t>Pidió ayuda (1/0)</t>
        </is>
      </c>
      <c r="H4" s="4" t="inlineStr">
        <is>
          <t>SEQ (1–7)</t>
        </is>
      </c>
      <c r="I4" s="4" t="inlineStr">
        <is>
          <t>Toques</t>
        </is>
      </c>
      <c r="J4" s="4" t="inlineStr">
        <is>
          <t>Toques sin respuesta</t>
        </is>
      </c>
      <c r="K4" s="4" t="inlineStr">
        <is>
          <t>Primera acción (s)</t>
        </is>
      </c>
      <c r="L4" s="4" t="inlineStr">
        <is>
          <t>Hasta Empresas (s)</t>
        </is>
      </c>
      <c r="M4" s="4" t="inlineStr">
        <is>
          <t>Pausa más larga (s)</t>
        </is>
      </c>
      <c r="N4" s="4" t="inlineStr">
        <is>
          <t>Pantalla con más tiempo</t>
        </is>
      </c>
      <c r="O4" s="4" t="inlineStr">
        <is>
          <t>SUS</t>
        </is>
      </c>
      <c r="P4" s="4" t="inlineStr">
        <is>
          <t>Nota del moderador (resumen)</t>
        </is>
      </c>
    </row>
    <row r="5">
      <c r="A5" s="5" t="inlineStr">
        <is>
          <t>P1</t>
        </is>
      </c>
      <c r="B5" s="10" t="inlineStr">
        <is>
          <t>Cliente · Hotel</t>
        </is>
      </c>
      <c r="C5" s="10" t="inlineStr">
        <is>
          <t>Computador</t>
        </is>
      </c>
      <c r="D5" s="10" t="inlineStr">
        <is>
          <t>T1</t>
        </is>
      </c>
      <c r="E5" s="10" t="n">
        <v>0.5</v>
      </c>
      <c r="F5" s="10" t="n">
        <v>230.6</v>
      </c>
      <c r="G5" s="10" t="n">
        <v>1</v>
      </c>
      <c r="H5" s="10" t="n">
        <v>5</v>
      </c>
      <c r="I5" s="10" t="n">
        <v>29</v>
      </c>
      <c r="J5" s="10" t="n">
        <v>0</v>
      </c>
      <c r="K5" s="10" t="n">
        <v>10.2</v>
      </c>
      <c r="L5" s="10" t="n">
        <v>10.2</v>
      </c>
      <c r="M5" s="10" t="n">
        <v>21.4</v>
      </c>
      <c r="N5" s="10" t="inlineStr">
        <is>
          <t>C03 (47,6 s)</t>
        </is>
      </c>
      <c r="O5" s="10" t="n">
        <v>60</v>
      </c>
      <c r="P5" s="6" t="inlineStr">
        <is>
          <t>Le gustó el sitio y cómo interactuaban los videos. Se perdió después del formulario y del primer cuestionario: quería elegir la modalidad antes de que le dieran la propuesta.</t>
        </is>
      </c>
    </row>
    <row r="6">
      <c r="A6" s="5" t="inlineStr">
        <is>
          <t>P2</t>
        </is>
      </c>
      <c r="B6" s="10" t="inlineStr">
        <is>
          <t>Cliente · Restaurante</t>
        </is>
      </c>
      <c r="C6" s="10" t="inlineStr">
        <is>
          <t>Celular</t>
        </is>
      </c>
      <c r="D6" s="10" t="inlineStr">
        <is>
          <t>T1</t>
        </is>
      </c>
      <c r="E6" s="10" t="n">
        <v>0.5</v>
      </c>
      <c r="F6" s="10" t="n">
        <v>196.2</v>
      </c>
      <c r="G6" s="10" t="n">
        <v>1</v>
      </c>
      <c r="H6" s="10" t="n">
        <v>6</v>
      </c>
      <c r="I6" s="10" t="n">
        <v>31</v>
      </c>
      <c r="J6" s="10" t="n">
        <v>2</v>
      </c>
      <c r="K6" s="10" t="n">
        <v>12.2</v>
      </c>
      <c r="L6" s="10" t="n">
        <v>15.5</v>
      </c>
      <c r="M6" s="10" t="n">
        <v>15.5</v>
      </c>
      <c r="N6" s="10" t="inlineStr">
        <is>
          <t>C03 (44,4 s)</t>
        </is>
      </c>
      <c r="O6" s="10" t="n">
        <v>60</v>
      </c>
      <c r="P6" s="6" t="inlineStr">
        <is>
          <t>No encontraba el menú (necesitó ayuda). Al pasar de pantalla en celular la vista no subía. Al terminar no supo qué hacer: faltó un aviso de que llegaría la propuesta. Preguntas largas; «faltaba un botón que seleccionara todo». 3 escenas en la portada eran muchas.</t>
        </is>
      </c>
    </row>
    <row r="7">
      <c r="A7" s="5" t="inlineStr">
        <is>
          <t>P3</t>
        </is>
      </c>
      <c r="B7" s="10" t="inlineStr">
        <is>
          <t>Cliente · Cafetería</t>
        </is>
      </c>
      <c r="C7" s="10" t="inlineStr">
        <is>
          <t>Celular</t>
        </is>
      </c>
      <c r="D7" s="10" t="inlineStr">
        <is>
          <t>T1</t>
        </is>
      </c>
      <c r="E7" s="10" t="n">
        <v>1</v>
      </c>
      <c r="F7" s="10" t="n">
        <v>186.5</v>
      </c>
      <c r="G7" s="10" t="n">
        <v>0</v>
      </c>
      <c r="H7" s="10" t="n">
        <v>6</v>
      </c>
      <c r="I7" s="10" t="n">
        <v>31</v>
      </c>
      <c r="J7" s="10" t="n">
        <v>3</v>
      </c>
      <c r="K7" s="10" t="n">
        <v>6.7</v>
      </c>
      <c r="L7" s="10" t="n">
        <v>9.300000000000001</v>
      </c>
      <c r="M7" s="10" t="n">
        <v>17.1</v>
      </c>
      <c r="N7" s="10" t="inlineStr">
        <is>
          <t>C07 (57,3 s)</t>
        </is>
      </c>
      <c r="O7" s="10" t="n">
        <v>65</v>
      </c>
      <c r="P7" s="6" t="inlineStr">
        <is>
          <t>No encontraba el menú. Pulsó la solución arriba y le hubiese gustado ver antes los productos. Pidió el +56 9 ya escrito. Esperar la «nueva propuesta» al ajustar le pareció una pérdida de tiempo. Los precios se notaban poco; los videos le dieron seguridad.</t>
        </is>
      </c>
    </row>
    <row r="8">
      <c r="A8" s="5" t="inlineStr">
        <is>
          <t>P4</t>
        </is>
      </c>
      <c r="B8" s="10" t="inlineStr">
        <is>
          <t>Equipo · Ventas</t>
        </is>
      </c>
      <c r="C8" s="10" t="inlineStr">
        <is>
          <t>Computador</t>
        </is>
      </c>
      <c r="D8" s="10" t="inlineStr">
        <is>
          <t>T7</t>
        </is>
      </c>
      <c r="E8" s="10" t="n">
        <v>0</v>
      </c>
      <c r="F8" s="10" t="n">
        <v>127.5</v>
      </c>
      <c r="G8" s="10" t="n">
        <v>0</v>
      </c>
      <c r="H8" s="10" t="n">
        <v>2</v>
      </c>
      <c r="I8" s="10" t="n">
        <v>18</v>
      </c>
      <c r="J8" s="10" t="n">
        <v>9</v>
      </c>
      <c r="K8" s="10" t="n">
        <v>7.1</v>
      </c>
      <c r="L8" s="10" t="n"/>
      <c r="M8" s="10" t="n">
        <v>7.5</v>
      </c>
      <c r="N8" s="10" t="inlineStr">
        <is>
          <t>R02 (74,4 s)</t>
        </is>
      </c>
      <c r="O8" s="10" t="n">
        <v>27.5</v>
      </c>
      <c r="P8" s="6" t="inlineStr">
        <is>
          <t>Encontró el CRM intuitivo, pero no pudo dar una solución: no veía lo que cotizó el cliente ni una propuesta sugerida. Botones sin jerarquía; chat demasiado pequeño; pidió un mini tutorial.</t>
        </is>
      </c>
    </row>
    <row r="9">
      <c r="A9" s="5" t="inlineStr">
        <is>
          <t>P5</t>
        </is>
      </c>
      <c r="B9" s="10" t="inlineStr">
        <is>
          <t>Equipo · Jefatura</t>
        </is>
      </c>
      <c r="C9" s="10" t="inlineStr">
        <is>
          <t>Celular</t>
        </is>
      </c>
      <c r="D9" s="10" t="inlineStr">
        <is>
          <t>T9</t>
        </is>
      </c>
      <c r="E9" s="10" t="n">
        <v>1</v>
      </c>
      <c r="F9" s="10" t="n">
        <v>76</v>
      </c>
      <c r="G9" s="10" t="n">
        <v>0</v>
      </c>
      <c r="H9" s="10" t="n">
        <v>5</v>
      </c>
      <c r="I9" s="10" t="n">
        <v>15</v>
      </c>
      <c r="J9" s="10" t="n">
        <v>10</v>
      </c>
      <c r="K9" s="10" t="n">
        <v>2.7</v>
      </c>
      <c r="L9" s="10" t="n"/>
      <c r="M9" s="10" t="n">
        <v>10.1</v>
      </c>
      <c r="N9" s="10" t="inlineStr">
        <is>
          <t>R05 (52 s)</t>
        </is>
      </c>
      <c r="O9" s="10" t="n">
        <v>52.5</v>
      </c>
      <c r="P9" s="6" t="inlineStr">
        <is>
          <t>El panel le pareció útil, pero sin funciones para interactuar, cruzar datos o ver detalle. Su usuario escrito no entró. Todas las tarjetas e indicadores tenían el mismo color, sin jerarquía.</t>
        </is>
      </c>
    </row>
    <row r="10">
      <c r="A10" s="5" t="inlineStr">
        <is>
          <t>P6</t>
        </is>
      </c>
      <c r="B10" s="11" t="inlineStr"/>
      <c r="C10" s="11" t="inlineStr"/>
      <c r="D10" s="11" t="inlineStr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inlineStr"/>
      <c r="O10" s="11" t="n"/>
      <c r="P10" s="12" t="inlineStr">
        <is>
          <t>Ronda 2 (completar)</t>
        </is>
      </c>
    </row>
    <row r="11">
      <c r="A11" s="5" t="inlineStr">
        <is>
          <t>P7</t>
        </is>
      </c>
      <c r="B11" s="11" t="inlineStr"/>
      <c r="C11" s="11" t="inlineStr"/>
      <c r="D11" s="11" t="inlineStr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inlineStr"/>
      <c r="O11" s="11" t="n"/>
      <c r="P11" s="12" t="inlineStr">
        <is>
          <t>Ronda 2 (completar)</t>
        </is>
      </c>
    </row>
    <row r="12">
      <c r="A12" s="7" t="inlineStr">
        <is>
          <t>P8</t>
        </is>
      </c>
      <c r="B12" s="15" t="inlineStr"/>
      <c r="C12" s="15" t="inlineStr"/>
      <c r="D12" s="15" t="inlineStr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inlineStr"/>
      <c r="O12" s="15" t="n"/>
      <c r="P12" s="16" t="inlineStr">
        <is>
          <t>Ronda 2 (completar)</t>
        </is>
      </c>
    </row>
    <row r="13"/>
    <row r="14" ht="30" customHeight="1">
      <c r="A14" s="4" t="inlineStr">
        <is>
          <t>Tarea</t>
        </is>
      </c>
      <c r="B14" s="4" t="inlineStr">
        <is>
          <t>Perfil</t>
        </is>
      </c>
      <c r="C14" s="4" t="inlineStr">
        <is>
          <t>Intentos</t>
        </is>
      </c>
      <c r="D14" s="4" t="inlineStr">
        <is>
          <t>Éxito sin ayuda (%)</t>
        </is>
      </c>
      <c r="E14" s="4" t="inlineStr">
        <is>
          <t>Éxito total (%)</t>
        </is>
      </c>
      <c r="F14" s="4" t="inlineStr">
        <is>
          <t>Tiempo promedio (s)</t>
        </is>
      </c>
      <c r="G14" s="4" t="inlineStr">
        <is>
          <t>SEQ promedio</t>
        </is>
      </c>
      <c r="H14" s="4" t="inlineStr">
        <is>
          <t>Umbral de éxito</t>
        </is>
      </c>
      <c r="I14" s="4" t="inlineStr">
        <is>
          <t>¿Cumple?</t>
        </is>
      </c>
    </row>
    <row r="15">
      <c r="A15" s="5" t="inlineStr">
        <is>
          <t>T1</t>
        </is>
      </c>
      <c r="B15" s="10" t="inlineStr">
        <is>
          <t>Clientes (sitio)</t>
        </is>
      </c>
      <c r="C15" s="21">
        <f>COUNTIFS($D$5:$D$12,A15,$E$5:$E$12,"&lt;&gt;")</f>
        <v/>
      </c>
      <c r="D15" s="35">
        <f>IFERROR(COUNTIFS($D$5:$D$12,A15,$E$5:$E$12,1)/C15,"pendiente")</f>
        <v/>
      </c>
      <c r="E15" s="35">
        <f>IFERROR(AVERAGEIFS($E$5:$E$12,$D$5:$D$12,A15),"pendiente")</f>
        <v/>
      </c>
      <c r="F15" s="36">
        <f>IFERROR(AVERAGEIFS($F$5:$F$12,$D$5:$D$12,A15),"pendiente")</f>
        <v/>
      </c>
      <c r="G15" s="36">
        <f>IFERROR(AVERAGEIFS($H$5:$H$12,$D$5:$D$12,A15),"pendiente")</f>
        <v/>
      </c>
      <c r="H15" s="37" t="n">
        <v>0.8</v>
      </c>
      <c r="I15" s="38">
        <f>IF(C15=0,"pendiente",IF(D15&gt;=H15,"Sí","No"))</f>
        <v/>
      </c>
    </row>
    <row r="16">
      <c r="A16" s="5" t="inlineStr">
        <is>
          <t>T7</t>
        </is>
      </c>
      <c r="B16" s="10" t="inlineStr">
        <is>
          <t>Ventas (CRM)</t>
        </is>
      </c>
      <c r="C16" s="21">
        <f>COUNTIFS($D$5:$D$12,A16,$E$5:$E$12,"&lt;&gt;")</f>
        <v/>
      </c>
      <c r="D16" s="35">
        <f>IFERROR(COUNTIFS($D$5:$D$12,A16,$E$5:$E$12,1)/C16,"pendiente")</f>
        <v/>
      </c>
      <c r="E16" s="35">
        <f>IFERROR(AVERAGEIFS($E$5:$E$12,$D$5:$D$12,A16),"pendiente")</f>
        <v/>
      </c>
      <c r="F16" s="36">
        <f>IFERROR(AVERAGEIFS($F$5:$F$12,$D$5:$D$12,A16),"pendiente")</f>
        <v/>
      </c>
      <c r="G16" s="36">
        <f>IFERROR(AVERAGEIFS($H$5:$H$12,$D$5:$D$12,A16),"pendiente")</f>
        <v/>
      </c>
      <c r="H16" s="37" t="n">
        <v>0.8</v>
      </c>
      <c r="I16" s="38">
        <f>IF(C16=0,"pendiente",IF(D16&gt;=H16,"Sí","No"))</f>
        <v/>
      </c>
    </row>
    <row r="17">
      <c r="A17" s="7" t="inlineStr">
        <is>
          <t>T9</t>
        </is>
      </c>
      <c r="B17" s="14" t="inlineStr">
        <is>
          <t>Jefatura (CRM)</t>
        </is>
      </c>
      <c r="C17" s="22">
        <f>COUNTIFS($D$5:$D$12,A17,$E$5:$E$12,"&lt;&gt;")</f>
        <v/>
      </c>
      <c r="D17" s="39">
        <f>IFERROR(COUNTIFS($D$5:$D$12,A17,$E$5:$E$12,1)/C17,"pendiente")</f>
        <v/>
      </c>
      <c r="E17" s="39">
        <f>IFERROR(AVERAGEIFS($E$5:$E$12,$D$5:$D$12,A17),"pendiente")</f>
        <v/>
      </c>
      <c r="F17" s="40">
        <f>IFERROR(AVERAGEIFS($F$5:$F$12,$D$5:$D$12,A17),"pendiente")</f>
        <v/>
      </c>
      <c r="G17" s="40">
        <f>IFERROR(AVERAGEIFS($H$5:$H$12,$D$5:$D$12,A17),"pendiente")</f>
        <v/>
      </c>
      <c r="H17" s="41" t="n">
        <v>0.8</v>
      </c>
      <c r="I17" s="42">
        <f>IF(C17=0,"pendiente",IF(D17&gt;=H17,"Sí","No"))</f>
        <v/>
      </c>
    </row>
    <row r="18"/>
    <row r="19">
      <c r="A19" s="20" t="inlineStr">
        <is>
          <t>Nota de lectura: son 5 personas y una tarea larga cada una; los números orientan, no son estadística. Lo que pesa es lo que se repite entre personas y coincide con su línea de tiempo. Severidad y cambios en las hojas 10 y 22.</t>
        </is>
      </c>
    </row>
  </sheetData>
  <mergeCells count="1">
    <mergeCell ref="A2:P2"/>
  </mergeCell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L29"/>
  <sheetViews>
    <sheetView showGridLines="0" zoomScale="9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4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9" customWidth="1" min="12" max="12"/>
  </cols>
  <sheetData>
    <row r="1" ht="28" customHeight="1">
      <c r="A1" s="1" t="inlineStr">
        <is>
          <t>System Usability Scale (SUS) · ronda 1 y ronda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6" customHeight="1">
      <c r="A2" s="3" t="inlineStr">
        <is>
          <t>Puntaje SUS 0–100 registrado por el test integrado (misma fórmula de abajo) el 15-10-2026; promedio de referencia 68 (Sauro 2011 [24]). Las respuestas por ítem de la ronda 1 no se guardaron (test sin el servidor del kit): solo se informa el puntaje del PDF.</t>
        </is>
      </c>
    </row>
    <row r="3"/>
    <row r="4" ht="30" customHeight="1">
      <c r="A4" s="4" t="inlineStr">
        <is>
          <t>Participante</t>
        </is>
      </c>
      <c r="B4" s="4" t="inlineStr">
        <is>
          <t>Perfil</t>
        </is>
      </c>
      <c r="C4" s="4" t="inlineStr">
        <is>
          <t>Dispositivo</t>
        </is>
      </c>
      <c r="D4" s="4" t="inlineStr">
        <is>
          <t>SUS (0–100)</t>
        </is>
      </c>
      <c r="E4" s="4" t="inlineStr">
        <is>
          <t>Lectura</t>
        </is>
      </c>
    </row>
    <row r="5">
      <c r="A5" s="5" t="inlineStr">
        <is>
          <t>P1</t>
        </is>
      </c>
      <c r="B5" s="10" t="inlineStr">
        <is>
          <t>Cliente · Hotel</t>
        </is>
      </c>
      <c r="C5" s="10" t="inlineStr">
        <is>
          <t>Computador</t>
        </is>
      </c>
      <c r="D5" s="10" t="n">
        <v>60</v>
      </c>
      <c r="E5" s="38">
        <f>IF(D5&gt;=68,"Sobre el promedio de referencia","Bajo el promedio de referencia (68)")</f>
        <v/>
      </c>
    </row>
    <row r="6">
      <c r="A6" s="5" t="inlineStr">
        <is>
          <t>P2</t>
        </is>
      </c>
      <c r="B6" s="10" t="inlineStr">
        <is>
          <t>Cliente · Restaurante</t>
        </is>
      </c>
      <c r="C6" s="10" t="inlineStr">
        <is>
          <t>Celular</t>
        </is>
      </c>
      <c r="D6" s="10" t="n">
        <v>60</v>
      </c>
      <c r="E6" s="38">
        <f>IF(D6&gt;=68,"Sobre el promedio de referencia","Bajo el promedio de referencia (68)")</f>
        <v/>
      </c>
    </row>
    <row r="7">
      <c r="A7" s="5" t="inlineStr">
        <is>
          <t>P3</t>
        </is>
      </c>
      <c r="B7" s="10" t="inlineStr">
        <is>
          <t>Cliente · Cafetería</t>
        </is>
      </c>
      <c r="C7" s="10" t="inlineStr">
        <is>
          <t>Celular</t>
        </is>
      </c>
      <c r="D7" s="10" t="n">
        <v>65</v>
      </c>
      <c r="E7" s="38">
        <f>IF(D7&gt;=68,"Sobre el promedio de referencia","Bajo el promedio de referencia (68)")</f>
        <v/>
      </c>
    </row>
    <row r="8">
      <c r="A8" s="5" t="inlineStr">
        <is>
          <t>P4</t>
        </is>
      </c>
      <c r="B8" s="10" t="inlineStr">
        <is>
          <t>Equipo · Ventas</t>
        </is>
      </c>
      <c r="C8" s="10" t="inlineStr">
        <is>
          <t>Computador</t>
        </is>
      </c>
      <c r="D8" s="10" t="n">
        <v>27.5</v>
      </c>
      <c r="E8" s="38">
        <f>IF(D8&gt;=68,"Sobre el promedio de referencia","Bajo el promedio de referencia (68)")</f>
        <v/>
      </c>
    </row>
    <row r="9">
      <c r="A9" s="5" t="inlineStr">
        <is>
          <t>P5</t>
        </is>
      </c>
      <c r="B9" s="10" t="inlineStr">
        <is>
          <t>Equipo · Jefatura</t>
        </is>
      </c>
      <c r="C9" s="10" t="inlineStr">
        <is>
          <t>Celular</t>
        </is>
      </c>
      <c r="D9" s="10" t="n">
        <v>52.5</v>
      </c>
      <c r="E9" s="38">
        <f>IF(D9&gt;=68,"Sobre el promedio de referencia","Bajo el promedio de referencia (68)")</f>
        <v/>
      </c>
    </row>
    <row r="10">
      <c r="A10" s="43" t="inlineStr">
        <is>
          <t>Promedio</t>
        </is>
      </c>
      <c r="B10" s="17" t="inlineStr">
        <is>
          <t>Clientes (P1–P3)</t>
        </is>
      </c>
      <c r="C10" s="17" t="inlineStr"/>
      <c r="D10" s="44">
        <f>AVERAGE(D5:D7)</f>
        <v/>
      </c>
      <c r="E10" s="45">
        <f>IF(D10&gt;=68,"Cumple (≥ 68)","No cumple (&lt; 68)")</f>
        <v/>
      </c>
    </row>
    <row r="11">
      <c r="A11" s="46" t="inlineStr">
        <is>
          <t>Promedio</t>
        </is>
      </c>
      <c r="B11" s="47" t="inlineStr">
        <is>
          <t>Equipo (P4–P5)</t>
        </is>
      </c>
      <c r="C11" s="47" t="inlineStr"/>
      <c r="D11" s="48">
        <f>AVERAGE(D8:D9)</f>
        <v/>
      </c>
      <c r="E11" s="49">
        <f>IF(D11&gt;=68,"Cumple (≥ 68)","No cumple (&lt; 68)")</f>
        <v/>
      </c>
    </row>
    <row r="12"/>
    <row r="13">
      <c r="A13" s="50" t="inlineStr">
        <is>
          <t>Ronda 2 · respuestas por ítem (1 = muy en desacuerdo a 5 = muy de acuerdo). Puntaje = ((ítems impares − 1) + (5 − ítems pares)) × 2,5</t>
        </is>
      </c>
    </row>
    <row r="14" ht="30" customHeight="1">
      <c r="A14" s="4" t="inlineStr">
        <is>
          <t>Participante</t>
        </is>
      </c>
      <c r="B14" s="4" t="inlineStr">
        <is>
          <t>Í1</t>
        </is>
      </c>
      <c r="C14" s="4" t="inlineStr">
        <is>
          <t>Í2</t>
        </is>
      </c>
      <c r="D14" s="4" t="inlineStr">
        <is>
          <t>Í3</t>
        </is>
      </c>
      <c r="E14" s="4" t="inlineStr">
        <is>
          <t>Í4</t>
        </is>
      </c>
      <c r="F14" s="4" t="inlineStr">
        <is>
          <t>Í5</t>
        </is>
      </c>
      <c r="G14" s="4" t="inlineStr">
        <is>
          <t>Í6</t>
        </is>
      </c>
      <c r="H14" s="4" t="inlineStr">
        <is>
          <t>Í7</t>
        </is>
      </c>
      <c r="I14" s="4" t="inlineStr">
        <is>
          <t>Í8</t>
        </is>
      </c>
      <c r="J14" s="4" t="inlineStr">
        <is>
          <t>Í9</t>
        </is>
      </c>
      <c r="K14" s="4" t="inlineStr">
        <is>
          <t>Í10</t>
        </is>
      </c>
      <c r="L14" s="4" t="inlineStr">
        <is>
          <t>SUS</t>
        </is>
      </c>
    </row>
    <row r="15">
      <c r="A15" s="5" t="inlineStr">
        <is>
          <t>P6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38">
        <f>IF(COUNT(B15:K15)=10,((B15-1)+(5-C15)+(D15-1)+(5-E15)+(F15-1)+(5-G15)+(H15-1)+(5-I15)+(J15-1)+(5-K15))*2.5,"")</f>
        <v/>
      </c>
    </row>
    <row r="16">
      <c r="A16" s="5" t="inlineStr">
        <is>
          <t>P7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38">
        <f>IF(COUNT(B16:K16)=10,((B16-1)+(5-C16)+(D16-1)+(5-E16)+(F16-1)+(5-G16)+(H16-1)+(5-I16)+(J16-1)+(5-K16))*2.5,"")</f>
        <v/>
      </c>
    </row>
    <row r="17">
      <c r="A17" s="7" t="inlineStr">
        <is>
          <t>P8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42">
        <f>IF(COUNT(B17:K17)=10,((B17-1)+(5-C17)+(D17-1)+(5-E17)+(F17-1)+(5-G17)+(H17-1)+(5-I17)+(J17-1)+(5-K17))*2.5,"")</f>
        <v/>
      </c>
    </row>
    <row r="18"/>
    <row r="19" ht="30" customHeight="1">
      <c r="A19" s="4" t="inlineStr">
        <is>
          <t>N.º</t>
        </is>
      </c>
      <c r="B19" s="4" t="inlineStr">
        <is>
          <t>Ítem del cuestionario</t>
        </is>
      </c>
    </row>
    <row r="20">
      <c r="A20" s="5" t="n">
        <v>1</v>
      </c>
      <c r="B20" s="6" t="inlineStr">
        <is>
          <t>Creo que me gustaría usar este sitio con frecuencia.</t>
        </is>
      </c>
    </row>
    <row r="21">
      <c r="A21" s="5" t="n">
        <v>2</v>
      </c>
      <c r="B21" s="6" t="inlineStr">
        <is>
          <t>Encontré el sitio innecesariamente complejo.</t>
        </is>
      </c>
    </row>
    <row r="22">
      <c r="A22" s="5" t="n">
        <v>3</v>
      </c>
      <c r="B22" s="6" t="inlineStr">
        <is>
          <t>Pensé que era fácil de usar.</t>
        </is>
      </c>
    </row>
    <row r="23">
      <c r="A23" s="5" t="n">
        <v>4</v>
      </c>
      <c r="B23" s="6" t="inlineStr">
        <is>
          <t>Creo que necesitaría ayuda de una persona con conocimientos técnicos para usarlo.</t>
        </is>
      </c>
    </row>
    <row r="24">
      <c r="A24" s="5" t="n">
        <v>5</v>
      </c>
      <c r="B24" s="6" t="inlineStr">
        <is>
          <t>Las funciones del sitio estaban bien integradas.</t>
        </is>
      </c>
    </row>
    <row r="25">
      <c r="A25" s="5" t="n">
        <v>6</v>
      </c>
      <c r="B25" s="6" t="inlineStr">
        <is>
          <t>Pensé que había demasiada inconsistencia.</t>
        </is>
      </c>
    </row>
    <row r="26">
      <c r="A26" s="5" t="n">
        <v>7</v>
      </c>
      <c r="B26" s="6" t="inlineStr">
        <is>
          <t>Imagino que la mayoría aprendería a usarlo muy rápido.</t>
        </is>
      </c>
    </row>
    <row r="27">
      <c r="A27" s="5" t="n">
        <v>8</v>
      </c>
      <c r="B27" s="6" t="inlineStr">
        <is>
          <t>Lo encontré muy engorroso de usar.</t>
        </is>
      </c>
    </row>
    <row r="28">
      <c r="A28" s="5" t="n">
        <v>9</v>
      </c>
      <c r="B28" s="6" t="inlineStr">
        <is>
          <t>Me sentí muy confiado al usarlo.</t>
        </is>
      </c>
    </row>
    <row r="29">
      <c r="A29" s="7" t="n">
        <v>10</v>
      </c>
      <c r="B29" s="8" t="inlineStr">
        <is>
          <t>Necesité aprender muchas cosas antes de poder usarlo.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1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N7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1" customWidth="1" min="3" max="3"/>
    <col width="22" customWidth="1" min="4" max="4"/>
    <col width="14" customWidth="1" min="5" max="5"/>
    <col width="34" customWidth="1" min="6" max="6"/>
    <col width="42" customWidth="1" min="7" max="7"/>
    <col width="11" customWidth="1" min="8" max="8"/>
    <col width="11" customWidth="1" min="9" max="9"/>
    <col width="11" customWidth="1" min="10" max="10"/>
    <col width="10" customWidth="1" min="11" max="11"/>
    <col width="40" customWidth="1" min="12" max="12"/>
    <col width="8" customWidth="1" min="13" max="13"/>
    <col width="24" customWidth="1" min="14" max="14"/>
  </cols>
  <sheetData>
    <row r="1" ht="28" customHeight="1">
      <c r="A1" s="1" t="inlineStr">
        <is>
          <t>Hallazgos, severidad y mejoras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6" customHeight="1">
      <c r="A2" s="3" t="inlineStr">
        <is>
          <t>Ciclo 0: revisión interna del autor del proyecto (09 a 12-10-2026), registrada con citas; NO es un test con usuarios. Ciclo 1: test con 5 usuarios del 15-10-2026 (participantes con código), con la mejora aplicada en v6. Severidad: crítica = 4, alta = 3, media = 2 (Nielsen 1994 [22]).</t>
        </is>
      </c>
    </row>
    <row r="3"/>
    <row r="4" ht="30" customHeight="1">
      <c r="A4" s="4" t="inlineStr">
        <is>
          <t>ID</t>
        </is>
      </c>
      <c r="B4" s="4" t="inlineStr">
        <is>
          <t>Ciclo</t>
        </is>
      </c>
      <c r="C4" s="4" t="inlineStr">
        <is>
          <t>Fecha</t>
        </is>
      </c>
      <c r="D4" s="4" t="inlineStr">
        <is>
          <t>Fuente de evidencia</t>
        </is>
      </c>
      <c r="E4" s="4" t="inlineStr">
        <is>
          <t>Pantalla / tarea</t>
        </is>
      </c>
      <c r="F4" s="4" t="inlineStr">
        <is>
          <t>Hallazgo (fricción)</t>
        </is>
      </c>
      <c r="G4" s="4" t="inlineStr">
        <is>
          <t>Evidencia (cita u observación)</t>
        </is>
      </c>
      <c r="H4" s="4" t="inlineStr">
        <is>
          <t>Frecuencia</t>
        </is>
      </c>
      <c r="I4" s="4" t="inlineStr">
        <is>
          <t>Impacto</t>
        </is>
      </c>
      <c r="J4" s="4" t="inlineStr">
        <is>
          <t>Persistencia</t>
        </is>
      </c>
      <c r="K4" s="4" t="inlineStr">
        <is>
          <t>Severidad (0–4)</t>
        </is>
      </c>
      <c r="L4" s="4" t="inlineStr">
        <is>
          <t>Mejora incorporada</t>
        </is>
      </c>
      <c r="M4" s="4" t="inlineStr">
        <is>
          <t>Versión</t>
        </is>
      </c>
      <c r="N4" s="4" t="inlineStr">
        <is>
          <t>Estado</t>
        </is>
      </c>
    </row>
    <row r="5">
      <c r="A5" s="5" t="inlineStr">
        <is>
          <t>H01</t>
        </is>
      </c>
      <c r="B5" s="10" t="n">
        <v>0</v>
      </c>
      <c r="C5" s="10" t="inlineStr">
        <is>
          <t>10-10-2026</t>
        </is>
      </c>
      <c r="D5" s="10" t="inlineStr">
        <is>
          <t>Revisión interna (autor)</t>
        </is>
      </c>
      <c r="E5" s="10" t="inlineStr">
        <is>
          <t>C07–C10</t>
        </is>
      </c>
      <c r="F5" s="10" t="inlineStr">
        <is>
          <t>Tras las 4 preguntas venían varias etapas (recomendación, propuesta, solicitud) que se leían como pestañas</t>
        </is>
      </c>
      <c r="G5" s="10" t="inlineStr">
        <is>
          <t>«después de las cuatro preguntas vienen hartas fases, como pestañas, que siento que son más fricciones»</t>
        </is>
      </c>
      <c r="H5" s="10" t="inlineStr">
        <is>
          <t>Alta</t>
        </is>
      </c>
      <c r="I5" s="10" t="inlineStr">
        <is>
          <t>Alto</t>
        </is>
      </c>
      <c r="J5" s="10" t="inlineStr">
        <is>
          <t>Alta</t>
        </is>
      </c>
      <c r="K5" s="11" t="n">
        <v>3</v>
      </c>
      <c r="L5" s="10" t="inlineStr">
        <is>
          <t>Contacto humano inmediato después de las preguntas (C05); lo demás pasa al portal</t>
        </is>
      </c>
      <c r="M5" s="10" t="inlineStr">
        <is>
          <t>v4</t>
        </is>
      </c>
      <c r="N5" s="6" t="inlineStr">
        <is>
          <t>Incorporado; re-test con usuarios pendiente (T3)</t>
        </is>
      </c>
    </row>
    <row r="6">
      <c r="A6" s="5" t="inlineStr">
        <is>
          <t>H02</t>
        </is>
      </c>
      <c r="B6" s="10" t="n">
        <v>0</v>
      </c>
      <c r="C6" s="10" t="inlineStr">
        <is>
          <t>10-10-2026</t>
        </is>
      </c>
      <c r="D6" s="10" t="inlineStr">
        <is>
          <t>Revisión interna (autor)</t>
        </is>
      </c>
      <c r="E6" s="10" t="inlineStr">
        <is>
          <t>C05–C06</t>
        </is>
      </c>
      <c r="F6" s="10" t="inlineStr">
        <is>
          <t>No se podía elegir hablar con una persona por chat real, llamada o correo</t>
        </is>
      </c>
      <c r="G6" s="10" t="inlineStr">
        <is>
          <t>Pidió llamada, correo o chat real en el portal, con un bot de bienvenida y espera según disponibilidad</t>
        </is>
      </c>
      <c r="H6" s="10" t="inlineStr">
        <is>
          <t>Alta</t>
        </is>
      </c>
      <c r="I6" s="10" t="inlineStr">
        <is>
          <t>Alto</t>
        </is>
      </c>
      <c r="J6" s="10" t="inlineStr">
        <is>
          <t>Alta</t>
        </is>
      </c>
      <c r="K6" s="11" t="n">
        <v>3</v>
      </c>
      <c r="L6" s="10" t="inlineStr">
        <is>
          <t>Omnicanal: chat real con bot y espera, llamada en cola o agendada, correo; cambio de canal sin perder la conversación</t>
        </is>
      </c>
      <c r="M6" s="10" t="inlineStr">
        <is>
          <t>v4</t>
        </is>
      </c>
      <c r="N6" s="6" t="inlineStr">
        <is>
          <t>Incorporado; re-test pendiente (T3, T4)</t>
        </is>
      </c>
    </row>
    <row r="7">
      <c r="A7" s="5" t="inlineStr">
        <is>
          <t>H03</t>
        </is>
      </c>
      <c r="B7" s="10" t="n">
        <v>0</v>
      </c>
      <c r="C7" s="10" t="inlineStr">
        <is>
          <t>10-10-2026</t>
        </is>
      </c>
      <c r="D7" s="10" t="inlineStr">
        <is>
          <t>Revisión interna (autor)</t>
        </is>
      </c>
      <c r="E7" s="10" t="inlineStr">
        <is>
          <t>C04, CRM</t>
        </is>
      </c>
      <c r="F7" s="10" t="inlineStr">
        <is>
          <t>La geografía no pesaba en el puntaje ni en la asignación de ejecutiva</t>
        </is>
      </c>
      <c r="G7" s="10" t="inlineStr">
        <is>
          <t>«no es lo mismo un hotel o restaurante en las condes o providencia que en santiago centro»</t>
        </is>
      </c>
      <c r="H7" s="10" t="inlineStr">
        <is>
          <t>Alta</t>
        </is>
      </c>
      <c r="I7" s="10" t="inlineStr">
        <is>
          <t>Medio</t>
        </is>
      </c>
      <c r="J7" s="10" t="inlineStr">
        <is>
          <t>Alta</t>
        </is>
      </c>
      <c r="K7" s="11" t="n">
        <v>2</v>
      </c>
      <c r="L7" s="10" t="inlineStr">
        <is>
          <t>Comuna como pregunta 2; evento 14 en Engagement; 15 % en Financial; ejecutiva y ruta por zona; mapa R06</t>
        </is>
      </c>
      <c r="M7" s="10" t="inlineStr">
        <is>
          <t>v4</t>
        </is>
      </c>
      <c r="N7" s="6" t="inlineStr">
        <is>
          <t>Incorporado; calibrar con ventas por comuna</t>
        </is>
      </c>
    </row>
    <row r="8">
      <c r="A8" s="5" t="inlineStr">
        <is>
          <t>H04</t>
        </is>
      </c>
      <c r="B8" s="10" t="n">
        <v>0</v>
      </c>
      <c r="C8" s="10" t="inlineStr">
        <is>
          <t>10-10-2026</t>
        </is>
      </c>
      <c r="D8" s="10" t="inlineStr">
        <is>
          <t>Revisión interna (autor)</t>
        </is>
      </c>
      <c r="E8" s="10" t="inlineStr">
        <is>
          <t>CRM</t>
        </is>
      </c>
      <c r="F8" s="10" t="inlineStr">
        <is>
          <t>Menú del CRM demasiado largo (12 secciones) y centrado en el puntaje</t>
        </is>
      </c>
      <c r="G8" s="10" t="inlineStr">
        <is>
          <t>«tiene un menú gigante… ni yo mismo lo podría ocupar»</t>
        </is>
      </c>
      <c r="H8" s="10" t="inlineStr">
        <is>
          <t>Alta</t>
        </is>
      </c>
      <c r="I8" s="10" t="inlineStr">
        <is>
          <t>Alto</t>
        </is>
      </c>
      <c r="J8" s="10" t="inlineStr">
        <is>
          <t>Alta</t>
        </is>
      </c>
      <c r="K8" s="11" t="n">
        <v>3</v>
      </c>
      <c r="L8" s="10" t="inlineStr">
        <is>
          <t>Menú de 6 secciones por rol; puntaje como apoyo</t>
        </is>
      </c>
      <c r="M8" s="10" t="inlineStr">
        <is>
          <t>v4</t>
        </is>
      </c>
      <c r="N8" s="6" t="inlineStr">
        <is>
          <t>Incorporado; re-test pendiente (T7–T9)</t>
        </is>
      </c>
    </row>
    <row r="9">
      <c r="A9" s="5" t="inlineStr">
        <is>
          <t>H05</t>
        </is>
      </c>
      <c r="B9" s="10" t="n">
        <v>0</v>
      </c>
      <c r="C9" s="10" t="inlineStr">
        <is>
          <t>10-10-2026</t>
        </is>
      </c>
      <c r="D9" s="10" t="inlineStr">
        <is>
          <t>Revisión interna (autor)</t>
        </is>
      </c>
      <c r="E9" s="10" t="inlineStr">
        <is>
          <t>R04</t>
        </is>
      </c>
      <c r="F9" s="10" t="inlineStr">
        <is>
          <t>La ficha no mostraba qué compra el cliente ni con qué frecuencia</t>
        </is>
      </c>
      <c r="G9" s="10" t="inlineStr">
        <is>
          <t>Pidió ver qué compra, cuántas veces, primera compra, frecuencia y ticket promedio</t>
        </is>
      </c>
      <c r="H9" s="10" t="inlineStr">
        <is>
          <t>Alta</t>
        </is>
      </c>
      <c r="I9" s="10" t="inlineStr">
        <is>
          <t>Alto</t>
        </is>
      </c>
      <c r="J9" s="10" t="inlineStr">
        <is>
          <t>Alta</t>
        </is>
      </c>
      <c r="K9" s="11" t="n">
        <v>3</v>
      </c>
      <c r="L9" s="10" t="inlineStr">
        <is>
          <t>Ficha con datos de compra al frente y próxima mejor acción</t>
        </is>
      </c>
      <c r="M9" s="10" t="inlineStr">
        <is>
          <t>v4</t>
        </is>
      </c>
      <c r="N9" s="6" t="inlineStr">
        <is>
          <t>Incorporado; re-test pendiente (T8)</t>
        </is>
      </c>
    </row>
    <row r="10">
      <c r="A10" s="5" t="inlineStr">
        <is>
          <t>H06</t>
        </is>
      </c>
      <c r="B10" s="10" t="n">
        <v>0</v>
      </c>
      <c r="C10" s="10" t="inlineStr">
        <is>
          <t>10-10-2026</t>
        </is>
      </c>
      <c r="D10" s="10" t="inlineStr">
        <is>
          <t>Revisión interna (autor)</t>
        </is>
      </c>
      <c r="E10" s="10" t="inlineStr">
        <is>
          <t>R05</t>
        </is>
      </c>
      <c r="F10" s="10" t="inlineStr">
        <is>
          <t>El panel de jefatura no era agregado</t>
        </is>
      </c>
      <c r="G10" s="10" t="inlineStr">
        <is>
          <t>Pidió ver cuántos compran, MQL y SQL actuales y referidos, no a cada persona</t>
        </is>
      </c>
      <c r="H10" s="10" t="inlineStr">
        <is>
          <t>Media</t>
        </is>
      </c>
      <c r="I10" s="10" t="inlineStr">
        <is>
          <t>Medio</t>
        </is>
      </c>
      <c r="J10" s="10" t="inlineStr">
        <is>
          <t>Alta</t>
        </is>
      </c>
      <c r="K10" s="11" t="n">
        <v>2</v>
      </c>
      <c r="L10" s="10" t="inlineStr">
        <is>
          <t>Panel agregado por tipo de cliente y por zona, sin ranking por persona</t>
        </is>
      </c>
      <c r="M10" s="10" t="inlineStr">
        <is>
          <t>v4</t>
        </is>
      </c>
      <c r="N10" s="6" t="inlineStr">
        <is>
          <t>Incorporado; re-test pendiente (T9)</t>
        </is>
      </c>
    </row>
    <row r="11">
      <c r="A11" s="5" t="inlineStr">
        <is>
          <t>H07</t>
        </is>
      </c>
      <c r="B11" s="10" t="n">
        <v>0</v>
      </c>
      <c r="C11" s="10" t="inlineStr">
        <is>
          <t>10-10-2026</t>
        </is>
      </c>
      <c r="D11" s="10" t="inlineStr">
        <is>
          <t>Revisión interna (autor)</t>
        </is>
      </c>
      <c r="E11" s="10" t="inlineStr">
        <is>
          <t>C02, C06, C08</t>
        </is>
      </c>
      <c r="F11" s="10" t="inlineStr">
        <is>
          <t>Videos de casos con logos incorrectos, tazas sin marca y fuera del flujo</t>
        </is>
      </c>
      <c r="G11" s="10" t="inlineStr">
        <is>
          <t>«si en verdad vemos un video y no sale la marca bien… se ve como una inconsistencia»</t>
        </is>
      </c>
      <c r="H11" s="10" t="inlineStr">
        <is>
          <t>Alta</t>
        </is>
      </c>
      <c r="I11" s="10" t="inlineStr">
        <is>
          <t>Alto</t>
        </is>
      </c>
      <c r="J11" s="10" t="inlineStr">
        <is>
          <t>Alta</t>
        </is>
      </c>
      <c r="K11" s="11" t="n">
        <v>3</v>
      </c>
      <c r="L11" s="10" t="inlineStr">
        <is>
          <t>2 videos nuevos desde fotos oficiales, revisados cuadro a cuadro, en C02, C06 y C08 de los 3 entregables</t>
        </is>
      </c>
      <c r="M11" s="10" t="inlineStr">
        <is>
          <t>v4</t>
        </is>
      </c>
      <c r="N11" s="6" t="inlineStr">
        <is>
          <t>Incorporado</t>
        </is>
      </c>
    </row>
    <row r="12">
      <c r="A12" s="5" t="inlineStr">
        <is>
          <t>H08</t>
        </is>
      </c>
      <c r="B12" s="10" t="n">
        <v>0</v>
      </c>
      <c r="C12" s="10" t="inlineStr">
        <is>
          <t>09-10-2026</t>
        </is>
      </c>
      <c r="D12" s="10" t="inlineStr">
        <is>
          <t>Revisión interna (autor)</t>
        </is>
      </c>
      <c r="E12" s="10" t="inlineStr">
        <is>
          <t>Todo el sitio</t>
        </is>
      </c>
      <c r="F12" s="10" t="inlineStr">
        <is>
          <t>La marca aparecía como «Marley» sola</t>
        </is>
      </c>
      <c r="G12" s="10" t="inlineStr">
        <is>
          <t>«si pones solo marley, se puede mal entender. la marca es marley coffee»</t>
        </is>
      </c>
      <c r="H12" s="10" t="inlineStr">
        <is>
          <t>Media</t>
        </is>
      </c>
      <c r="I12" s="10" t="inlineStr">
        <is>
          <t>Medio</t>
        </is>
      </c>
      <c r="J12" s="10" t="inlineStr">
        <is>
          <t>Alta</t>
        </is>
      </c>
      <c r="K12" s="11" t="n">
        <v>2</v>
      </c>
      <c r="L12" s="10" t="inlineStr">
        <is>
          <t>Regla de marca en textos, etiquetas e informe; verificación automática</t>
        </is>
      </c>
      <c r="M12" s="10" t="inlineStr">
        <is>
          <t>v4</t>
        </is>
      </c>
      <c r="N12" s="6" t="inlineStr">
        <is>
          <t>Incorporado; verificado 0 casos</t>
        </is>
      </c>
    </row>
    <row r="13">
      <c r="A13" s="5" t="inlineStr">
        <is>
          <t>H09</t>
        </is>
      </c>
      <c r="B13" s="10" t="n">
        <v>0</v>
      </c>
      <c r="C13" s="10" t="inlineStr">
        <is>
          <t>09-10-2026</t>
        </is>
      </c>
      <c r="D13" s="10" t="inlineStr">
        <is>
          <t>Revisión interna (autor)</t>
        </is>
      </c>
      <c r="E13" s="10" t="inlineStr">
        <is>
          <t>CRM</t>
        </is>
      </c>
      <c r="F13" s="10" t="inlineStr">
        <is>
          <t>El CRM se veía vacío en wireframes y mockups</t>
        </is>
      </c>
      <c r="G13" s="10" t="inlineStr">
        <is>
          <t>«sobre todo el crm que no había nada»</t>
        </is>
      </c>
      <c r="H13" s="10" t="inlineStr">
        <is>
          <t>Alta</t>
        </is>
      </c>
      <c r="I13" s="10" t="inlineStr">
        <is>
          <t>Alto</t>
        </is>
      </c>
      <c r="J13" s="10" t="inlineStr">
        <is>
          <t>Alta</t>
        </is>
      </c>
      <c r="K13" s="11" t="n">
        <v>3</v>
      </c>
      <c r="L13" s="10" t="inlineStr">
        <is>
          <t>Caso de ejemplo y datos de demostración rotulados en los tres entregables</t>
        </is>
      </c>
      <c r="M13" s="10" t="inlineStr">
        <is>
          <t>v3→v4</t>
        </is>
      </c>
      <c r="N13" s="6" t="inlineStr">
        <is>
          <t>Incorporado</t>
        </is>
      </c>
    </row>
    <row r="14">
      <c r="A14" s="5" t="inlineStr">
        <is>
          <t>H10</t>
        </is>
      </c>
      <c r="B14" s="10" t="n">
        <v>0</v>
      </c>
      <c r="C14" s="10" t="inlineStr">
        <is>
          <t>08-10-2026</t>
        </is>
      </c>
      <c r="D14" s="10" t="inlineStr">
        <is>
          <t>Revisión interna (autor)</t>
        </is>
      </c>
      <c r="E14" s="10" t="inlineStr">
        <is>
          <t>Estados</t>
        </is>
      </c>
      <c r="F14" s="10" t="inlineStr">
        <is>
          <t>Estados en inglés incomprensibles («pending…»)</t>
        </is>
      </c>
      <c r="G14" s="10" t="inlineStr">
        <is>
          <t>Vio una frase «pending…» que no entendía</t>
        </is>
      </c>
      <c r="H14" s="10" t="inlineStr">
        <is>
          <t>Media</t>
        </is>
      </c>
      <c r="I14" s="10" t="inlineStr">
        <is>
          <t>Medio</t>
        </is>
      </c>
      <c r="J14" s="10" t="inlineStr">
        <is>
          <t>Media</t>
        </is>
      </c>
      <c r="K14" s="11" t="n">
        <v>2</v>
      </c>
      <c r="L14" s="10" t="inlineStr">
        <is>
          <t>Todos los estados en español; verificación automática sin palabras en inglés</t>
        </is>
      </c>
      <c r="M14" s="10" t="inlineStr">
        <is>
          <t>v3→v4</t>
        </is>
      </c>
      <c r="N14" s="6" t="inlineStr">
        <is>
          <t>Incorporado; verificado 0 casos</t>
        </is>
      </c>
    </row>
    <row r="15">
      <c r="A15" s="5" t="inlineStr">
        <is>
          <t>H11</t>
        </is>
      </c>
      <c r="B15" s="10" t="n">
        <v>0</v>
      </c>
      <c r="C15" s="10" t="inlineStr">
        <is>
          <t>10-10-2026</t>
        </is>
      </c>
      <c r="D15" s="10" t="inlineStr">
        <is>
          <t>Revisión interna (autor)</t>
        </is>
      </c>
      <c r="E15" s="10" t="inlineStr">
        <is>
          <t>C02–C09, CRM</t>
        </is>
      </c>
      <c r="F15" s="10" t="inlineStr">
        <is>
          <t>Los lead magnets LM1–LM7 no se veían en ninguna pantalla ni en el informe</t>
        </is>
      </c>
      <c r="G15" s="10" t="inlineStr">
        <is>
          <t>«ojo con los lead magnets que no los vi en ningún lado»</t>
        </is>
      </c>
      <c r="H15" s="10" t="inlineStr">
        <is>
          <t>Alta</t>
        </is>
      </c>
      <c r="I15" s="10" t="inlineStr">
        <is>
          <t>Alto</t>
        </is>
      </c>
      <c r="J15" s="10" t="inlineStr">
        <is>
          <t>Alta</t>
        </is>
      </c>
      <c r="K15" s="11" t="n">
        <v>3</v>
      </c>
      <c r="L15" s="10" t="inlineStr">
        <is>
          <t>LM visibles antes de cada esfuerzo (C02 a C09), adaptados al negocio; en el CRM (ficha, contexto, panel y marketing), diagramas, informe y hoja 15</t>
        </is>
      </c>
      <c r="M15" s="10" t="inlineStr">
        <is>
          <t>v4.1</t>
        </is>
      </c>
      <c r="N15" s="6" t="inlineStr">
        <is>
          <t>Incorporado; re-test pendiente (T1–T6)</t>
        </is>
      </c>
    </row>
    <row r="16">
      <c r="A16" s="5" t="inlineStr">
        <is>
          <t>H12</t>
        </is>
      </c>
      <c r="B16" s="10" t="n">
        <v>0</v>
      </c>
      <c r="C16" s="10" t="inlineStr">
        <is>
          <t>12-10-2026</t>
        </is>
      </c>
      <c r="D16" s="10" t="inlineStr">
        <is>
          <t>Revisión interna (autor)</t>
        </is>
      </c>
      <c r="E16" s="10" t="inlineStr">
        <is>
          <t>Informe</t>
        </is>
      </c>
      <c r="F16" s="10" t="inlineStr">
        <is>
          <t>El informe se leía técnico y pegado, sin hilo</t>
        </is>
      </c>
      <c r="G16" s="10" t="inlineStr">
        <is>
          <t>«el informe no es amigable… tengo una skill de informes que no usaste»</t>
        </is>
      </c>
      <c r="H16" s="10" t="inlineStr">
        <is>
          <t>Alta</t>
        </is>
      </c>
      <c r="I16" s="10" t="inlineStr">
        <is>
          <t>Alto</t>
        </is>
      </c>
      <c r="J16" s="10" t="inlineStr">
        <is>
          <t>Alta</t>
        </is>
      </c>
      <c r="K16" s="11" t="n">
        <v>3</v>
      </c>
      <c r="L16" s="10" t="inlineStr">
        <is>
          <t>Informe en HTML con el sistema visual de la skill: hilo narrativo, aire, una idea fuerte por párrafo y matrices en anexos</t>
        </is>
      </c>
      <c r="M16" s="10" t="inlineStr">
        <is>
          <t>1.3</t>
        </is>
      </c>
      <c r="N16" s="6" t="inlineStr">
        <is>
          <t>Incorporado</t>
        </is>
      </c>
    </row>
    <row r="17">
      <c r="A17" s="5" t="inlineStr">
        <is>
          <t>H13</t>
        </is>
      </c>
      <c r="B17" s="10" t="n">
        <v>0</v>
      </c>
      <c r="C17" s="10" t="inlineStr">
        <is>
          <t>12-10-2026</t>
        </is>
      </c>
      <c r="D17" s="10" t="inlineStr">
        <is>
          <t>Revisión interna (autor)</t>
        </is>
      </c>
      <c r="E17" s="10" t="inlineStr">
        <is>
          <t>Diagramas</t>
        </is>
      </c>
      <c r="F17" s="10" t="inlineStr">
        <is>
          <t>Blueprint dibujado como embudo; diagramas enredados</t>
        </is>
      </c>
      <c r="G17" s="10" t="inlineStr">
        <is>
          <t>«flywheel vs funnel es un error técnico»</t>
        </is>
      </c>
      <c r="H17" s="10" t="inlineStr">
        <is>
          <t>Alta</t>
        </is>
      </c>
      <c r="I17" s="10" t="inlineStr">
        <is>
          <t>Alto</t>
        </is>
      </c>
      <c r="J17" s="10" t="inlineStr">
        <is>
          <t>Alta</t>
        </is>
      </c>
      <c r="K17" s="11" t="n">
        <v>3</v>
      </c>
      <c r="L17" s="10" t="inlineStr">
        <is>
          <t>Blueprint sobre el flywheel con el embudo adentro; máximo 3 carriles y pasos numerados</t>
        </is>
      </c>
      <c r="M17" s="10" t="inlineStr">
        <is>
          <t>v11</t>
        </is>
      </c>
      <c r="N17" s="6" t="inlineStr">
        <is>
          <t>Incorporado</t>
        </is>
      </c>
    </row>
    <row r="18">
      <c r="A18" s="5" t="inlineStr">
        <is>
          <t>H14</t>
        </is>
      </c>
      <c r="B18" s="10" t="n">
        <v>0</v>
      </c>
      <c r="C18" s="10" t="inlineStr">
        <is>
          <t>12-10-2026</t>
        </is>
      </c>
      <c r="D18" s="10" t="inlineStr">
        <is>
          <t>Revisión interna (autor)</t>
        </is>
      </c>
      <c r="E18" s="10" t="inlineStr">
        <is>
          <t>Wireframes</t>
        </is>
      </c>
      <c r="F18" s="10" t="inlineStr">
        <is>
          <t>Los wireframes mostraban la multimedia en gris</t>
        </is>
      </c>
      <c r="G18" s="10" t="inlineStr">
        <is>
          <t>Pidió solo cajas «foto» o «video»</t>
        </is>
      </c>
      <c r="H18" s="10" t="inlineStr">
        <is>
          <t>Media</t>
        </is>
      </c>
      <c r="I18" s="10" t="inlineStr">
        <is>
          <t>Medio</t>
        </is>
      </c>
      <c r="J18" s="10" t="inlineStr">
        <is>
          <t>Alta</t>
        </is>
      </c>
      <c r="K18" s="11" t="n">
        <v>2</v>
      </c>
      <c r="L18" s="10" t="inlineStr">
        <is>
          <t>Cajas FOTO y VIDEO con su descripción y comportamiento al scroll</t>
        </is>
      </c>
      <c r="M18" s="10" t="inlineStr">
        <is>
          <t>v5</t>
        </is>
      </c>
      <c r="N18" s="6" t="inlineStr">
        <is>
          <t>Incorporado</t>
        </is>
      </c>
    </row>
    <row r="19">
      <c r="A19" s="5" t="inlineStr">
        <is>
          <t>H15</t>
        </is>
      </c>
      <c r="B19" s="10" t="n">
        <v>0</v>
      </c>
      <c r="C19" s="10" t="inlineStr">
        <is>
          <t>12-10-2026</t>
        </is>
      </c>
      <c r="D19" s="10" t="inlineStr">
        <is>
          <t>Revisión interna (autor)</t>
        </is>
      </c>
      <c r="E19" s="10" t="inlineStr">
        <is>
          <t>C02–C09</t>
        </is>
      </c>
      <c r="F19" s="10" t="inlineStr">
        <is>
          <t>Faltaban CTA con resultado y lead magnets claros</t>
        </is>
      </c>
      <c r="G19" s="10" t="inlineStr">
        <is>
          <t>Pidió CTA concretos y lead magnets en el prototipo</t>
        </is>
      </c>
      <c r="H19" s="10" t="inlineStr">
        <is>
          <t>Alta</t>
        </is>
      </c>
      <c r="I19" s="10" t="inlineStr">
        <is>
          <t>Alto</t>
        </is>
      </c>
      <c r="J19" s="10" t="inlineStr">
        <is>
          <t>Alta</t>
        </is>
      </c>
      <c r="K19" s="11" t="n">
        <v>3</v>
      </c>
      <c r="L19" s="10" t="inlineStr">
        <is>
          <t>CTA con resultado explícito y nota debajo; LM antes de cada esfuerzo</t>
        </is>
      </c>
      <c r="M19" s="10" t="inlineStr">
        <is>
          <t>v5</t>
        </is>
      </c>
      <c r="N19" s="6" t="inlineStr">
        <is>
          <t>Incorporado</t>
        </is>
      </c>
    </row>
    <row r="20">
      <c r="A20" s="5" t="inlineStr">
        <is>
          <t>H16</t>
        </is>
      </c>
      <c r="B20" s="10" t="n">
        <v>0</v>
      </c>
      <c r="C20" s="10" t="inlineStr">
        <is>
          <t>12-10-2026</t>
        </is>
      </c>
      <c r="D20" s="10" t="inlineStr">
        <is>
          <t>Revisión interna (autor)</t>
        </is>
      </c>
      <c r="E20" s="10" t="inlineStr">
        <is>
          <t>CRM</t>
        </is>
      </c>
      <c r="F20" s="10" t="inlineStr">
        <is>
          <t>Un solo menú para todos los roles</t>
        </is>
      </c>
      <c r="G20" s="10" t="inlineStr">
        <is>
          <t>Ventas, marketing y jefatura necesitan datos distintos</t>
        </is>
      </c>
      <c r="H20" s="10" t="inlineStr">
        <is>
          <t>Alta</t>
        </is>
      </c>
      <c r="I20" s="10" t="inlineStr">
        <is>
          <t>Alto</t>
        </is>
      </c>
      <c r="J20" s="10" t="inlineStr">
        <is>
          <t>Alta</t>
        </is>
      </c>
      <c r="K20" s="11" t="n">
        <v>3</v>
      </c>
      <c r="L20" s="10" t="inlineStr">
        <is>
          <t>R00 ingreso de trabajadores (usuario y contraseña) y un menú propio por rol; métricas generales solo jefatura</t>
        </is>
      </c>
      <c r="M20" s="10" t="inlineStr">
        <is>
          <t>v5</t>
        </is>
      </c>
      <c r="N20" s="6" t="inlineStr">
        <is>
          <t>Incorporado</t>
        </is>
      </c>
    </row>
    <row r="21">
      <c r="A21" s="5" t="inlineStr">
        <is>
          <t>H17</t>
        </is>
      </c>
      <c r="B21" s="10" t="n">
        <v>0</v>
      </c>
      <c r="C21" s="10" t="inlineStr">
        <is>
          <t>12-10-2026</t>
        </is>
      </c>
      <c r="D21" s="10" t="inlineStr">
        <is>
          <t>Revisión interna (autor)</t>
        </is>
      </c>
      <c r="E21" s="10" t="inlineStr">
        <is>
          <t>C08</t>
        </is>
      </c>
      <c r="F21" s="10" t="inlineStr">
        <is>
          <t>Los casos eran un video en una tarjeta al lado del texto</t>
        </is>
      </c>
      <c r="G21" s="10" t="inlineStr">
        <is>
          <t>Pidió una experiencia premium animada con el scroll</t>
        </is>
      </c>
      <c r="H21" s="10" t="inlineStr">
        <is>
          <t>Media</t>
        </is>
      </c>
      <c r="I21" s="10" t="inlineStr">
        <is>
          <t>Alto</t>
        </is>
      </c>
      <c r="J21" s="10" t="inlineStr">
        <is>
          <t>Alta</t>
        </is>
      </c>
      <c r="K21" s="11" t="n">
        <v>3</v>
      </c>
      <c r="L21" s="10" t="inlineStr">
        <is>
          <t>Escenas a pantalla completa que avanzan y retroceden con el scroll</t>
        </is>
      </c>
      <c r="M21" s="10" t="inlineStr">
        <is>
          <t>v5</t>
        </is>
      </c>
      <c r="N21" s="6" t="inlineStr">
        <is>
          <t>Incorporado</t>
        </is>
      </c>
    </row>
    <row r="22">
      <c r="A22" s="5" t="inlineStr">
        <is>
          <t>H18</t>
        </is>
      </c>
      <c r="B22" s="10" t="n">
        <v>0</v>
      </c>
      <c r="C22" s="10" t="inlineStr">
        <is>
          <t>12-10-2026</t>
        </is>
      </c>
      <c r="D22" s="10" t="inlineStr">
        <is>
          <t>Revisión interna (autor)</t>
        </is>
      </c>
      <c r="E22" s="10" t="inlineStr">
        <is>
          <t>C02, C07</t>
        </is>
      </c>
      <c r="F22" s="10" t="inlineStr">
        <is>
          <t>No se mostraban máquinas ni servicios para subir el ticket</t>
        </is>
      </c>
      <c r="G22" s="10" t="inlineStr">
        <is>
          <t>Pidió máquinas con foto y servicios como catering con branding y eventos</t>
        </is>
      </c>
      <c r="H22" s="10" t="inlineStr">
        <is>
          <t>Alta</t>
        </is>
      </c>
      <c r="I22" s="10" t="inlineStr">
        <is>
          <t>Alto</t>
        </is>
      </c>
      <c r="J22" s="10" t="inlineStr">
        <is>
          <t>Alta</t>
        </is>
      </c>
      <c r="K22" s="11" t="n">
        <v>3</v>
      </c>
      <c r="L22" s="10" t="inlineStr">
        <is>
          <t>4 máquinas oficiales por tipo de solución y 7 servicios con foto y rango supuesto</t>
        </is>
      </c>
      <c r="M22" s="10" t="inlineStr">
        <is>
          <t>v5</t>
        </is>
      </c>
      <c r="N22" s="6" t="inlineStr">
        <is>
          <t>Incorporado</t>
        </is>
      </c>
    </row>
    <row r="23">
      <c r="A23" s="5" t="inlineStr">
        <is>
          <t>H19</t>
        </is>
      </c>
      <c r="B23" s="10" t="n">
        <v>0</v>
      </c>
      <c r="C23" s="10" t="inlineStr">
        <is>
          <t>12-10-2026</t>
        </is>
      </c>
      <c r="D23" s="10" t="inlineStr">
        <is>
          <t>Revisión interna (autor)</t>
        </is>
      </c>
      <c r="E23" s="10" t="inlineStr">
        <is>
          <t>Todo el sitio</t>
        </is>
      </c>
      <c r="F23" s="10" t="inlineStr">
        <is>
          <t>No cargaban las fuentes de Marley Coffee y el amarillo no era el oficial</t>
        </is>
      </c>
      <c r="G23" s="10" t="inlineStr">
        <is>
          <t>«el branding de marley coffee es ley (fuentes, colores)»</t>
        </is>
      </c>
      <c r="H23" s="10" t="inlineStr">
        <is>
          <t>Alta</t>
        </is>
      </c>
      <c r="I23" s="10" t="inlineStr">
        <is>
          <t>Alto</t>
        </is>
      </c>
      <c r="J23" s="10" t="inlineStr">
        <is>
          <t>Alta</t>
        </is>
      </c>
      <c r="K23" s="11" t="n">
        <v>4</v>
      </c>
      <c r="L23" s="10" t="inlineStr">
        <is>
          <t>Festivo y GT Pressura desde el servidor oficial; amarillo #F7BE00</t>
        </is>
      </c>
      <c r="M23" s="10" t="inlineStr">
        <is>
          <t>v5</t>
        </is>
      </c>
      <c r="N23" s="6" t="inlineStr">
        <is>
          <t>Incorporado</t>
        </is>
      </c>
    </row>
    <row r="24">
      <c r="A24" s="5" t="inlineStr">
        <is>
          <t>H20</t>
        </is>
      </c>
      <c r="B24" s="10" t="n">
        <v>0</v>
      </c>
      <c r="C24" s="10" t="inlineStr">
        <is>
          <t>12-10-2026</t>
        </is>
      </c>
      <c r="D24" s="10" t="inlineStr">
        <is>
          <t>Revisión interna (autor)</t>
        </is>
      </c>
      <c r="E24" s="10" t="inlineStr">
        <is>
          <t>C06, R02</t>
        </is>
      </c>
      <c r="F24" s="10" t="inlineStr">
        <is>
          <t>La intranet no cambiaba tras el primer contacto; la llamada no tenía ficha ni notas</t>
        </is>
      </c>
      <c r="G24" s="10" t="inlineStr">
        <is>
          <t>Pidió estados que suban la fidelidad y llamada en vivo con datos y notas</t>
        </is>
      </c>
      <c r="H24" s="10" t="inlineStr">
        <is>
          <t>Alta</t>
        </is>
      </c>
      <c r="I24" s="10" t="inlineStr">
        <is>
          <t>Alto</t>
        </is>
      </c>
      <c r="J24" s="10" t="inlineStr">
        <is>
          <t>Alta</t>
        </is>
      </c>
      <c r="K24" s="11" t="n">
        <v>3</v>
      </c>
      <c r="L24" s="10" t="inlineStr">
        <is>
          <t>Portal en 5 estados; panel de llamada con ficha y notas que el cliente ve en vivo</t>
        </is>
      </c>
      <c r="M24" s="10" t="inlineStr">
        <is>
          <t>v5</t>
        </is>
      </c>
      <c r="N24" s="6" t="inlineStr">
        <is>
          <t>Incorporado</t>
        </is>
      </c>
    </row>
    <row r="25">
      <c r="A25" s="5" t="inlineStr">
        <is>
          <t>H21</t>
        </is>
      </c>
      <c r="B25" s="10" t="n">
        <v>0</v>
      </c>
      <c r="C25" s="10" t="inlineStr">
        <is>
          <t>12-10-2026</t>
        </is>
      </c>
      <c r="D25" s="10" t="inlineStr">
        <is>
          <t>Revisión interna (autor)</t>
        </is>
      </c>
      <c r="E25" s="10" t="inlineStr">
        <is>
          <t>C07</t>
        </is>
      </c>
      <c r="F25" s="10" t="inlineStr">
        <is>
          <t>No había precios para cotizar la máquina</t>
        </is>
      </c>
      <c r="G25" s="10" t="inlineStr">
        <is>
          <t>Pidió rangos por tipo de solución (supuestos rotulados)</t>
        </is>
      </c>
      <c r="H25" s="10" t="inlineStr">
        <is>
          <t>Alta</t>
        </is>
      </c>
      <c r="I25" s="10" t="inlineStr">
        <is>
          <t>Alto</t>
        </is>
      </c>
      <c r="J25" s="10" t="inlineStr">
        <is>
          <t>Alta</t>
        </is>
      </c>
      <c r="K25" s="11" t="n">
        <v>3</v>
      </c>
      <c r="L25" s="10" t="inlineStr">
        <is>
          <t>Cotizador: máquina → modalidad → consumo → servicios con rango al instante</t>
        </is>
      </c>
      <c r="M25" s="10" t="inlineStr">
        <is>
          <t>v5</t>
        </is>
      </c>
      <c r="N25" s="6" t="inlineStr">
        <is>
          <t>Incorporado</t>
        </is>
      </c>
    </row>
    <row r="26">
      <c r="A26" s="5" t="inlineStr">
        <is>
          <t>H22</t>
        </is>
      </c>
      <c r="B26" s="10" t="n">
        <v>1</v>
      </c>
      <c r="C26" s="10" t="inlineStr">
        <is>
          <t>15-10-2026</t>
        </is>
      </c>
      <c r="D26" s="10" t="inlineStr">
        <is>
          <t>Test ronda 1 · P2, P3</t>
        </is>
      </c>
      <c r="E26" s="10" t="inlineStr">
        <is>
          <t>C01 · T1</t>
        </is>
      </c>
      <c r="F26" s="10" t="inlineStr">
        <is>
          <t>En el celular no se ve la entrada a Empresas: está dentro del menú de la tienda</t>
        </is>
      </c>
      <c r="G26" s="10" t="inlineStr">
        <is>
          <t>2 de 2 en celular no encontraron el menú; P2 necesitó ayuda; P3 tocó primero el buscador. Hasta Empresas: 15,5 s en celular vs 10,2 s en computador</t>
        </is>
      </c>
      <c r="H26" s="10" t="inlineStr">
        <is>
          <t>2 de 2 (celular)</t>
        </is>
      </c>
      <c r="I26" s="10" t="inlineStr">
        <is>
          <t>Alto</t>
        </is>
      </c>
      <c r="J26" s="10" t="inlineStr">
        <is>
          <t>Alta</t>
        </is>
      </c>
      <c r="K26" s="11" t="n">
        <v>3</v>
      </c>
      <c r="L26" s="10" t="inlineStr">
        <is>
          <t>«MENÚ» visible bajo el ícono y franja «¿Compras para tu negocio? Empresas →» bajo el encabezado</t>
        </is>
      </c>
      <c r="M26" s="10" t="inlineStr">
        <is>
          <t>v6</t>
        </is>
      </c>
      <c r="N26" s="6" t="inlineStr">
        <is>
          <t>Incorporado en v6; medir en ronda 2</t>
        </is>
      </c>
    </row>
    <row r="27">
      <c r="A27" s="5" t="inlineStr">
        <is>
          <t>H23</t>
        </is>
      </c>
      <c r="B27" s="10" t="n">
        <v>1</v>
      </c>
      <c r="C27" s="10" t="inlineStr">
        <is>
          <t>15-10-2026</t>
        </is>
      </c>
      <c r="D27" s="10" t="inlineStr">
        <is>
          <t>Test ronda 1 · P1, P2, P3</t>
        </is>
      </c>
      <c r="E27" s="10" t="inlineStr">
        <is>
          <t>C03 · T1</t>
        </is>
      </c>
      <c r="F27" s="10" t="inlineStr">
        <is>
          <t>Se pedían los datos antes de dar valor (formulario antes de las preguntas y de la solución)</t>
        </is>
      </c>
      <c r="G27" s="10" t="inlineStr">
        <is>
          <t>La pantalla más lenta para 2 de 3 (47,6 s y 44,4 s); P3: 50,5 s; solo el correo tomó 15 a 21 s; P3 pidió el +56 9 ya escrito</t>
        </is>
      </c>
      <c r="H27" s="10" t="inlineStr">
        <is>
          <t>3 de 3</t>
        </is>
      </c>
      <c r="I27" s="10" t="inlineStr">
        <is>
          <t>Alto</t>
        </is>
      </c>
      <c r="J27" s="10" t="inlineStr">
        <is>
          <t>Alta</t>
        </is>
      </c>
      <c r="K27" s="11" t="n">
        <v>3</v>
      </c>
      <c r="L27" s="10" t="inlineStr">
        <is>
          <t>Formulario corto al principio (v6.1): 3 datos, +56 9 escrito, autocompletar y la comuna pasa al paso 2; se mantiene antes del diagnóstico para recuperar a quien abandona (decisión de negocio, 15-10)</t>
        </is>
      </c>
      <c r="M27" s="10" t="inlineStr">
        <is>
          <t>v6.1</t>
        </is>
      </c>
      <c r="N27" s="6" t="inlineStr">
        <is>
          <t>Incorporado en v6.1; medir en ronda 2</t>
        </is>
      </c>
    </row>
    <row r="28">
      <c r="A28" s="5" t="inlineStr">
        <is>
          <t>H24</t>
        </is>
      </c>
      <c r="B28" s="10" t="n">
        <v>1</v>
      </c>
      <c r="C28" s="10" t="inlineStr">
        <is>
          <t>15-10-2026</t>
        </is>
      </c>
      <c r="D28" s="10" t="inlineStr">
        <is>
          <t>Test ronda 1 · P1, P3</t>
        </is>
      </c>
      <c r="E28" s="10" t="inlineStr">
        <is>
          <t>C05–C07 · T1</t>
        </is>
      </c>
      <c r="F28" s="10" t="inlineStr">
        <is>
          <t>La modalidad y los extras aparecían después de la propuesta</t>
        </is>
      </c>
      <c r="G28" s="10" t="inlineStr">
        <is>
          <t>P1: «sentía que era mejor hacerlo antes de que le dieran una propuesta»; P3 quería ver antes las opciones del ajuste</t>
        </is>
      </c>
      <c r="H28" s="10" t="inlineStr">
        <is>
          <t>2 de 3</t>
        </is>
      </c>
      <c r="I28" s="10" t="inlineStr">
        <is>
          <t>Alto</t>
        </is>
      </c>
      <c r="J28" s="10" t="inlineStr">
        <is>
          <t>Alta</t>
        </is>
      </c>
      <c r="K28" s="11" t="n">
        <v>3</v>
      </c>
      <c r="L28" s="10" t="inlineStr">
        <is>
          <t>Propuesta al instante con la modalidad elegible ahí mismo y los extras como recomendación apagada</t>
        </is>
      </c>
      <c r="M28" s="10" t="inlineStr">
        <is>
          <t>v6</t>
        </is>
      </c>
      <c r="N28" s="6" t="inlineStr">
        <is>
          <t>Incorporado en v6; medir en ronda 2</t>
        </is>
      </c>
    </row>
    <row r="29">
      <c r="A29" s="5" t="inlineStr">
        <is>
          <t>H25</t>
        </is>
      </c>
      <c r="B29" s="10" t="n">
        <v>1</v>
      </c>
      <c r="C29" s="10" t="inlineStr">
        <is>
          <t>15-10-2026</t>
        </is>
      </c>
      <c r="D29" s="10" t="inlineStr">
        <is>
          <t>Test ronda 1 · P2, P3</t>
        </is>
      </c>
      <c r="E29" s="10" t="inlineStr">
        <is>
          <t>C05–C07 · T1</t>
        </is>
      </c>
      <c r="F29" s="10" t="inlineStr">
        <is>
          <t>Después de elegir no quedaba claro qué seguía y había esperas que se sentían inútiles</t>
        </is>
      </c>
      <c r="G29" s="10" t="inlineStr">
        <is>
          <t>P2 «se perdió en qué hacer»; P3 sintió como pérdida de tiempo esperar la «nueva propuesta» al ajustar</t>
        </is>
      </c>
      <c r="H29" s="10" t="inlineStr">
        <is>
          <t>2 de 3</t>
        </is>
      </c>
      <c r="I29" s="10" t="inlineStr">
        <is>
          <t>Alto</t>
        </is>
      </c>
      <c r="J29" s="10" t="inlineStr">
        <is>
          <t>Alta</t>
        </is>
      </c>
      <c r="K29" s="11" t="n">
        <v>3</v>
      </c>
      <c r="L29" s="10" t="inlineStr">
        <is>
          <t>«¡Listo!» con quién escribe, por dónde, cuándo y 3 pasos; ajustes al instante sin espera</t>
        </is>
      </c>
      <c r="M29" s="10" t="inlineStr">
        <is>
          <t>v6</t>
        </is>
      </c>
      <c r="N29" s="6" t="inlineStr">
        <is>
          <t>Incorporado en v6; medir en ronda 2</t>
        </is>
      </c>
    </row>
    <row r="30">
      <c r="A30" s="5" t="inlineStr">
        <is>
          <t>H26</t>
        </is>
      </c>
      <c r="B30" s="10" t="n">
        <v>1</v>
      </c>
      <c r="C30" s="10" t="inlineStr">
        <is>
          <t>15-10-2026</t>
        </is>
      </c>
      <c r="D30" s="10" t="inlineStr">
        <is>
          <t>Test ronda 1 · P2, P3</t>
        </is>
      </c>
      <c r="E30" s="10" t="inlineStr">
        <is>
          <t>C02 · T1</t>
        </is>
      </c>
      <c r="F30" s="10" t="inlineStr">
        <is>
          <t>El botón de la solución estaba arriba, antes de los productos, y la tarjeta del negocio no respondía</t>
        </is>
      </c>
      <c r="G30" s="10" t="inlineStr">
        <is>
          <t>P3 se saltó la información y luego preguntó por los productos; P2 tocó «Café para restaurantes» esperando que se abriera</t>
        </is>
      </c>
      <c r="H30" s="10" t="inlineStr">
        <is>
          <t>2 de 3</t>
        </is>
      </c>
      <c r="I30" s="10" t="inlineStr">
        <is>
          <t>Medio</t>
        </is>
      </c>
      <c r="J30" s="10" t="inlineStr">
        <is>
          <t>Alta</t>
        </is>
      </c>
      <c r="K30" s="11" t="n">
        <v>2</v>
      </c>
      <c r="L30" s="10" t="inlineStr">
        <is>
          <t>Máquinas primero; «Ver mi solución» aparece después del carrusel; tarjetas de solución que abren el cotizador o marcan interés</t>
        </is>
      </c>
      <c r="M30" s="10" t="inlineStr">
        <is>
          <t>v6</t>
        </is>
      </c>
      <c r="N30" s="6" t="inlineStr">
        <is>
          <t>Incorporado en v6; medir en ronda 2</t>
        </is>
      </c>
    </row>
    <row r="31">
      <c r="A31" s="5" t="inlineStr">
        <is>
          <t>H27</t>
        </is>
      </c>
      <c r="B31" s="10" t="n">
        <v>1</v>
      </c>
      <c r="C31" s="10" t="inlineStr">
        <is>
          <t>15-10-2026</t>
        </is>
      </c>
      <c r="D31" s="10" t="inlineStr">
        <is>
          <t>Test ronda 1 · P2</t>
        </is>
      </c>
      <c r="E31" s="10" t="inlineStr">
        <is>
          <t>C02 · T1</t>
        </is>
      </c>
      <c r="F31" s="10" t="inlineStr">
        <is>
          <t>Tres escenas seguidas al bajar en la portada son muchas</t>
        </is>
      </c>
      <c r="G31" s="10" t="inlineStr">
        <is>
          <t>P2: «3 pantallas ahí era mucho» y no vio la segunda</t>
        </is>
      </c>
      <c r="H31" s="10" t="inlineStr">
        <is>
          <t>1 de 3</t>
        </is>
      </c>
      <c r="I31" s="10" t="inlineStr">
        <is>
          <t>Medio</t>
        </is>
      </c>
      <c r="J31" s="10" t="inlineStr">
        <is>
          <t>Media</t>
        </is>
      </c>
      <c r="K31" s="11" t="n">
        <v>2</v>
      </c>
      <c r="L31" s="10" t="inlineStr">
        <is>
          <t>Portada en 2 momentos, más corta (200 vh; 170 vh en celular), con la atención en vivo en una línea abajo</t>
        </is>
      </c>
      <c r="M31" s="10" t="inlineStr">
        <is>
          <t>v6</t>
        </is>
      </c>
      <c r="N31" s="6" t="inlineStr">
        <is>
          <t>Incorporado en v6</t>
        </is>
      </c>
    </row>
    <row r="32">
      <c r="A32" s="5" t="inlineStr">
        <is>
          <t>H28</t>
        </is>
      </c>
      <c r="B32" s="10" t="n">
        <v>1</v>
      </c>
      <c r="C32" s="10" t="inlineStr">
        <is>
          <t>15-10-2026</t>
        </is>
      </c>
      <c r="D32" s="10" t="inlineStr">
        <is>
          <t>Test ronda 1 · P1, P2</t>
        </is>
      </c>
      <c r="E32" s="10" t="inlineStr">
        <is>
          <t>C04 · T1</t>
        </is>
      </c>
      <c r="F32" s="10" t="inlineStr">
        <is>
          <t>Las preguntas se sentían largas y faltaba «elegir todas»</t>
        </is>
      </c>
      <c r="G32" s="10" t="inlineStr">
        <is>
          <t>P2: «podría haber sido más resumida» y «faltaba un botón que seleccionara todo»; 13 a 14 toques en las bebidas</t>
        </is>
      </c>
      <c r="H32" s="10" t="inlineStr">
        <is>
          <t>2 de 3</t>
        </is>
      </c>
      <c r="I32" s="10" t="inlineStr">
        <is>
          <t>Medio</t>
        </is>
      </c>
      <c r="J32" s="10" t="inlineStr">
        <is>
          <t>Alta</t>
        </is>
      </c>
      <c r="K32" s="11" t="n">
        <v>2</v>
      </c>
      <c r="L32" s="10" t="inlineStr">
        <is>
          <t>3 pasos que se marcan; negocio que no se repite; lo típico ya marcado; «Todas»</t>
        </is>
      </c>
      <c r="M32" s="10" t="inlineStr">
        <is>
          <t>v6</t>
        </is>
      </c>
      <c r="N32" s="6" t="inlineStr">
        <is>
          <t>Incorporado en v6; medir en ronda 2</t>
        </is>
      </c>
    </row>
    <row r="33">
      <c r="A33" s="5" t="inlineStr">
        <is>
          <t>H29</t>
        </is>
      </c>
      <c r="B33" s="10" t="n">
        <v>1</v>
      </c>
      <c r="C33" s="10" t="inlineStr">
        <is>
          <t>15-10-2026</t>
        </is>
      </c>
      <c r="D33" s="10" t="inlineStr">
        <is>
          <t>Test ronda 1 · P2</t>
        </is>
      </c>
      <c r="E33" s="10" t="inlineStr">
        <is>
          <t>C04, C06, C07 · celular</t>
        </is>
      </c>
      <c r="F33" s="10" t="inlineStr">
        <is>
          <t>Al avanzar dentro de una misma pantalla la vista no subía y los botones «se perdían»</t>
        </is>
      </c>
      <c r="G33" s="10" t="inlineStr">
        <is>
          <t>P2: «no se posicionaba automáticamente arriba»</t>
        </is>
      </c>
      <c r="H33" s="10" t="inlineStr">
        <is>
          <t>1 de 2 (celular)</t>
        </is>
      </c>
      <c r="I33" s="10" t="inlineStr">
        <is>
          <t>Medio</t>
        </is>
      </c>
      <c r="J33" s="10" t="inlineStr">
        <is>
          <t>Alta</t>
        </is>
      </c>
      <c r="K33" s="11" t="n">
        <v>2</v>
      </c>
      <c r="L33" s="10" t="inlineStr">
        <is>
          <t>Cada paso y cada cambio de pantalla parte desde arriba</t>
        </is>
      </c>
      <c r="M33" s="10" t="inlineStr">
        <is>
          <t>v6</t>
        </is>
      </c>
      <c r="N33" s="6" t="inlineStr">
        <is>
          <t>Incorporado en v6</t>
        </is>
      </c>
    </row>
    <row r="34">
      <c r="A34" s="5" t="inlineStr">
        <is>
          <t>H30</t>
        </is>
      </c>
      <c r="B34" s="10" t="n">
        <v>1</v>
      </c>
      <c r="C34" s="10" t="inlineStr">
        <is>
          <t>15-10-2026</t>
        </is>
      </c>
      <c r="D34" s="10" t="inlineStr">
        <is>
          <t>Test ronda 1 · P3</t>
        </is>
      </c>
      <c r="E34" s="10" t="inlineStr">
        <is>
          <t>C07 · T1</t>
        </is>
      </c>
      <c r="F34" s="10" t="inlineStr">
        <is>
          <t>Los precios se notaban poco</t>
        </is>
      </c>
      <c r="G34" s="10" t="inlineStr">
        <is>
          <t>P3: «le hubiese gustado ver los precios de manera más clara»; C07 fue su pantalla más larga (57,3 s)</t>
        </is>
      </c>
      <c r="H34" s="10" t="inlineStr">
        <is>
          <t>1 de 3</t>
        </is>
      </c>
      <c r="I34" s="10" t="inlineStr">
        <is>
          <t>Medio</t>
        </is>
      </c>
      <c r="J34" s="10" t="inlineStr">
        <is>
          <t>Media</t>
        </is>
      </c>
      <c r="K34" s="11" t="n">
        <v>2</v>
      </c>
      <c r="L34" s="10" t="inlineStr">
        <is>
          <t>Precio mensual grande, en color de marca y primero en el resumen</t>
        </is>
      </c>
      <c r="M34" s="10" t="inlineStr">
        <is>
          <t>v6</t>
        </is>
      </c>
      <c r="N34" s="6" t="inlineStr">
        <is>
          <t>Incorporado en v6</t>
        </is>
      </c>
    </row>
    <row r="35">
      <c r="A35" s="5" t="inlineStr">
        <is>
          <t>H31</t>
        </is>
      </c>
      <c r="B35" s="10" t="n">
        <v>1</v>
      </c>
      <c r="C35" s="10" t="inlineStr">
        <is>
          <t>15-10-2026</t>
        </is>
      </c>
      <c r="D35" s="10" t="inlineStr">
        <is>
          <t>Test ronda 1 · P4</t>
        </is>
      </c>
      <c r="E35" s="10" t="inlineStr">
        <is>
          <t>R02, R04 · T7</t>
        </is>
      </c>
      <c r="F35" s="10" t="inlineStr">
        <is>
          <t>La ejecutiva no veía lo que cotizó el cliente ni una propuesta sugerida</t>
        </is>
      </c>
      <c r="G35" s="10" t="inlineStr">
        <is>
          <t>P4 no logró la tarea (facilidad 2, SUS 27,5); pasó 74,4 s en Conversaciones y fue dos veces a la ficha</t>
        </is>
      </c>
      <c r="H35" s="10" t="inlineStr">
        <is>
          <t>1 de 1 (ventas)</t>
        </is>
      </c>
      <c r="I35" s="10" t="inlineStr">
        <is>
          <t>Crítico</t>
        </is>
      </c>
      <c r="J35" s="10" t="inlineStr">
        <is>
          <t>Alta</t>
        </is>
      </c>
      <c r="K35" s="11" t="n">
        <v>4</v>
      </c>
      <c r="L35" s="10" t="inlineStr">
        <is>
          <t>«Lo que cotizó el cliente» en vivo junto al chat y tarjeta del agente de ventas con «Enviar propuesta sugerida»</t>
        </is>
      </c>
      <c r="M35" s="10" t="inlineStr">
        <is>
          <t>v6</t>
        </is>
      </c>
      <c r="N35" s="6" t="inlineStr">
        <is>
          <t>Incorporado en v6; medir en ronda 2</t>
        </is>
      </c>
    </row>
    <row r="36">
      <c r="A36" s="5" t="inlineStr">
        <is>
          <t>H32</t>
        </is>
      </c>
      <c r="B36" s="10" t="n">
        <v>1</v>
      </c>
      <c r="C36" s="10" t="inlineStr">
        <is>
          <t>15-10-2026</t>
        </is>
      </c>
      <c r="D36" s="10" t="inlineStr">
        <is>
          <t>Test ronda 1 · P4, P5</t>
        </is>
      </c>
      <c r="E36" s="10" t="inlineStr">
        <is>
          <t>R02, R04, R05</t>
        </is>
      </c>
      <c r="F36" s="10" t="inlineStr">
        <is>
          <t>Muchas cosas parecían botones y no hacían nada</t>
        </is>
      </c>
      <c r="G36" s="10" t="inlineStr">
        <is>
          <t>19 de 33 toques sin respuesta (58 %): tarjeta del cliente ×5, indicadores ×8, campana ×3, espacio entre botones ×2</t>
        </is>
      </c>
      <c r="H36" s="10" t="inlineStr">
        <is>
          <t>2 de 2 (equipo)</t>
        </is>
      </c>
      <c r="I36" s="10" t="inlineStr">
        <is>
          <t>Alto</t>
        </is>
      </c>
      <c r="J36" s="10" t="inlineStr">
        <is>
          <t>Alta</t>
        </is>
      </c>
      <c r="K36" s="11" t="n">
        <v>3</v>
      </c>
      <c r="L36" s="10" t="inlineStr">
        <is>
          <t>La campana abre los avisos; la tarjeta abre la ficha; cada indicador abre su detalle; la onda del toque ya no agranda los botones</t>
        </is>
      </c>
      <c r="M36" s="10" t="inlineStr">
        <is>
          <t>v6</t>
        </is>
      </c>
      <c r="N36" s="6" t="inlineStr">
        <is>
          <t>Incorporado en v6; medir en ronda 2</t>
        </is>
      </c>
    </row>
    <row r="37">
      <c r="A37" s="5" t="inlineStr">
        <is>
          <t>H33</t>
        </is>
      </c>
      <c r="B37" s="10" t="n">
        <v>1</v>
      </c>
      <c r="C37" s="10" t="inlineStr">
        <is>
          <t>15-10-2026</t>
        </is>
      </c>
      <c r="D37" s="10" t="inlineStr">
        <is>
          <t>Test ronda 1 · P4, P5</t>
        </is>
      </c>
      <c r="E37" s="10" t="inlineStr">
        <is>
          <t>R02, R05</t>
        </is>
      </c>
      <c r="F37" s="10" t="inlineStr">
        <is>
          <t>Sin jerarquía: botones e indicadores con el mismo color y peso</t>
        </is>
      </c>
      <c r="G37" s="10" t="inlineStr">
        <is>
          <t>P4 pidió jerarquía y un color destacado; P5: «todas las tarjetas de información y KPIs tenían el mismo color»</t>
        </is>
      </c>
      <c r="H37" s="10" t="inlineStr">
        <is>
          <t>2 de 2 (equipo)</t>
        </is>
      </c>
      <c r="I37" s="10" t="inlineStr">
        <is>
          <t>Alto</t>
        </is>
      </c>
      <c r="J37" s="10" t="inlineStr">
        <is>
          <t>Alta</t>
        </is>
      </c>
      <c r="K37" s="11" t="n">
        <v>3</v>
      </c>
      <c r="L37" s="10" t="inlineStr">
        <is>
          <t>Acción principal en amarillo; secundarias con contorno; 44 px y 8 px de separación; 3 indicadores principales con color según su tendencia</t>
        </is>
      </c>
      <c r="M37" s="10" t="inlineStr">
        <is>
          <t>v6</t>
        </is>
      </c>
      <c r="N37" s="6" t="inlineStr">
        <is>
          <t>Incorporado en v6</t>
        </is>
      </c>
    </row>
    <row r="38">
      <c r="A38" s="5" t="inlineStr">
        <is>
          <t>H34</t>
        </is>
      </c>
      <c r="B38" s="10" t="n">
        <v>1</v>
      </c>
      <c r="C38" s="10" t="inlineStr">
        <is>
          <t>15-10-2026</t>
        </is>
      </c>
      <c r="D38" s="10" t="inlineStr">
        <is>
          <t>Test ronda 1 · P5</t>
        </is>
      </c>
      <c r="E38" s="10" t="inlineStr">
        <is>
          <t>R05 · T9</t>
        </is>
      </c>
      <c r="F38" s="10" t="inlineStr">
        <is>
          <t>El panel de jefatura no dejaba profundizar ni cruzar datos (y en celular se perdían los gráficos)</t>
        </is>
      </c>
      <c r="G38" s="10" t="inlineStr">
        <is>
          <t>P5 tocó 10 indicadores en 11 s buscando el detalle</t>
        </is>
      </c>
      <c r="H38" s="10" t="inlineStr">
        <is>
          <t>1 de 1 (jefatura)</t>
        </is>
      </c>
      <c r="I38" s="10" t="inlineStr">
        <is>
          <t>Alto</t>
        </is>
      </c>
      <c r="J38" s="10" t="inlineStr">
        <is>
          <t>Alta</t>
        </is>
      </c>
      <c r="K38" s="11" t="n">
        <v>3</v>
      </c>
      <c r="L38" s="10" t="inlineStr">
        <is>
          <t>Filtros de período y zona, detalle al tocar, cruces por zona y tipo de cliente, gráficos y agentes visibles en celular</t>
        </is>
      </c>
      <c r="M38" s="10" t="inlineStr">
        <is>
          <t>v6</t>
        </is>
      </c>
      <c r="N38" s="6" t="inlineStr">
        <is>
          <t>Incorporado en v6; medir en ronda 2</t>
        </is>
      </c>
    </row>
    <row r="39">
      <c r="A39" s="5" t="inlineStr">
        <is>
          <t>H35</t>
        </is>
      </c>
      <c r="B39" s="10" t="n">
        <v>1</v>
      </c>
      <c r="C39" s="10" t="inlineStr">
        <is>
          <t>15-10-2026</t>
        </is>
      </c>
      <c r="D39" s="10" t="inlineStr">
        <is>
          <t>Test ronda 1 · P5</t>
        </is>
      </c>
      <c r="E39" s="10" t="inlineStr">
        <is>
          <t>R00 · T9</t>
        </is>
      </c>
      <c r="F39" s="10" t="inlineStr">
        <is>
          <t>El ingreso no reconoció el usuario escrito</t>
        </is>
      </c>
      <c r="G39" s="10" t="inlineStr">
        <is>
          <t>Tocó «Ingresar» dos veces sin entrar; 24 s en el ingreso; «si bien es un test, debería haber pasado»</t>
        </is>
      </c>
      <c r="H39" s="10" t="inlineStr">
        <is>
          <t>1 de 2</t>
        </is>
      </c>
      <c r="I39" s="10" t="inlineStr">
        <is>
          <t>Medio</t>
        </is>
      </c>
      <c r="J39" s="10" t="inlineStr">
        <is>
          <t>Media</t>
        </is>
      </c>
      <c r="K39" s="11" t="n">
        <v>2</v>
      </c>
      <c r="L39" s="10" t="inlineStr">
        <is>
          <t>Usuario sin distinguir mayúsculas, tildes, espacios ni dominio; sin autocorrector; cuentas de prueba de un toque</t>
        </is>
      </c>
      <c r="M39" s="10" t="inlineStr">
        <is>
          <t>v6</t>
        </is>
      </c>
      <c r="N39" s="6" t="inlineStr">
        <is>
          <t>Incorporado en v6</t>
        </is>
      </c>
    </row>
    <row r="40">
      <c r="A40" s="7" t="inlineStr">
        <is>
          <t>H36</t>
        </is>
      </c>
      <c r="B40" s="14" t="n">
        <v>1</v>
      </c>
      <c r="C40" s="14" t="inlineStr">
        <is>
          <t>15-10-2026</t>
        </is>
      </c>
      <c r="D40" s="14" t="inlineStr">
        <is>
          <t>Test ronda 1 · P4</t>
        </is>
      </c>
      <c r="E40" s="14" t="inlineStr">
        <is>
          <t>R02 · T7</t>
        </is>
      </c>
      <c r="F40" s="14" t="inlineStr">
        <is>
          <t>El chat era chico y no había guía de uso</t>
        </is>
      </c>
      <c r="G40" s="14" t="inlineStr">
        <is>
          <t>P4: «el chat es demasiado pequeño» y pidió un mini tutorial</t>
        </is>
      </c>
      <c r="H40" s="14" t="inlineStr">
        <is>
          <t>1 de 1 (ventas)</t>
        </is>
      </c>
      <c r="I40" s="14" t="inlineStr">
        <is>
          <t>Medio</t>
        </is>
      </c>
      <c r="J40" s="14" t="inlineStr">
        <is>
          <t>Media</t>
        </is>
      </c>
      <c r="K40" s="15" t="n">
        <v>2</v>
      </c>
      <c r="L40" s="14" t="inlineStr">
        <is>
          <t>Chat de 438 a 732 px de ancho (1366 × 900) y guía de 3 pasos que se cierra</t>
        </is>
      </c>
      <c r="M40" s="14" t="inlineStr">
        <is>
          <t>v6</t>
        </is>
      </c>
      <c r="N40" s="8" t="inlineStr">
        <is>
          <t>Incorporado en v6</t>
        </is>
      </c>
    </row>
    <row r="41"/>
    <row r="42"/>
    <row r="43">
      <c r="A43" s="50" t="inlineStr">
        <is>
          <t>Notas del observador (CSV de notas del test integrado). En la ronda 1 no se usaron notas en vivo (0 notas): las observaciones del moderador están resumidas en 08_TEST_REGISTRO (última columna). Completar en la ronda 2.</t>
        </is>
      </c>
    </row>
    <row r="44" ht="30" customHeight="1">
      <c r="A44" s="4" t="inlineStr">
        <is>
          <t>Participante</t>
        </is>
      </c>
      <c r="B44" s="51" t="inlineStr">
        <is>
          <t>Dispositivo</t>
        </is>
      </c>
      <c r="C44" s="51" t="inlineStr">
        <is>
          <t>Tarea</t>
        </is>
      </c>
      <c r="D44" s="51" t="inlineStr">
        <is>
          <t>Minuto</t>
        </is>
      </c>
      <c r="E44" s="51" t="inlineStr">
        <is>
          <t>Tipo (duda / frase / gesto / error / idea)</t>
        </is>
      </c>
      <c r="F44" s="51" t="inlineStr">
        <is>
          <t>Nota del observador</t>
        </is>
      </c>
      <c r="G44" s="51" t="inlineStr">
        <is>
          <t>Pantalla</t>
        </is>
      </c>
      <c r="H44" s="4" t="inlineStr">
        <is>
          <t>Hallazgo asignado (ID)</t>
        </is>
      </c>
    </row>
    <row r="45">
      <c r="A45" s="11" t="inlineStr"/>
      <c r="B45" s="11" t="inlineStr"/>
      <c r="C45" s="11" t="inlineStr"/>
      <c r="D45" s="11" t="inlineStr"/>
      <c r="E45" s="11" t="inlineStr"/>
      <c r="F45" s="11" t="inlineStr"/>
      <c r="G45" s="11" t="inlineStr"/>
      <c r="H45" s="11" t="inlineStr"/>
    </row>
    <row r="46">
      <c r="A46" s="11" t="inlineStr"/>
      <c r="B46" s="11" t="inlineStr"/>
      <c r="C46" s="11" t="inlineStr"/>
      <c r="D46" s="11" t="inlineStr"/>
      <c r="E46" s="11" t="inlineStr"/>
      <c r="F46" s="11" t="inlineStr"/>
      <c r="G46" s="11" t="inlineStr"/>
      <c r="H46" s="11" t="inlineStr"/>
    </row>
    <row r="47">
      <c r="A47" s="11" t="inlineStr"/>
      <c r="B47" s="11" t="inlineStr"/>
      <c r="C47" s="11" t="inlineStr"/>
      <c r="D47" s="11" t="inlineStr"/>
      <c r="E47" s="11" t="inlineStr"/>
      <c r="F47" s="11" t="inlineStr"/>
      <c r="G47" s="11" t="inlineStr"/>
      <c r="H47" s="11" t="inlineStr"/>
    </row>
    <row r="48">
      <c r="A48" s="11" t="inlineStr"/>
      <c r="B48" s="11" t="inlineStr"/>
      <c r="C48" s="11" t="inlineStr"/>
      <c r="D48" s="11" t="inlineStr"/>
      <c r="E48" s="11" t="inlineStr"/>
      <c r="F48" s="11" t="inlineStr"/>
      <c r="G48" s="11" t="inlineStr"/>
      <c r="H48" s="11" t="inlineStr"/>
    </row>
    <row r="49">
      <c r="A49" s="11" t="inlineStr"/>
      <c r="B49" s="11" t="inlineStr"/>
      <c r="C49" s="11" t="inlineStr"/>
      <c r="D49" s="11" t="inlineStr"/>
      <c r="E49" s="11" t="inlineStr"/>
      <c r="F49" s="11" t="inlineStr"/>
      <c r="G49" s="11" t="inlineStr"/>
      <c r="H49" s="11" t="inlineStr"/>
    </row>
    <row r="50">
      <c r="A50" s="11" t="inlineStr"/>
      <c r="B50" s="11" t="inlineStr"/>
      <c r="C50" s="11" t="inlineStr"/>
      <c r="D50" s="11" t="inlineStr"/>
      <c r="E50" s="11" t="inlineStr"/>
      <c r="F50" s="11" t="inlineStr"/>
      <c r="G50" s="11" t="inlineStr"/>
      <c r="H50" s="11" t="inlineStr"/>
    </row>
    <row r="51">
      <c r="A51" s="11" t="inlineStr"/>
      <c r="B51" s="11" t="inlineStr"/>
      <c r="C51" s="11" t="inlineStr"/>
      <c r="D51" s="11" t="inlineStr"/>
      <c r="E51" s="11" t="inlineStr"/>
      <c r="F51" s="11" t="inlineStr"/>
      <c r="G51" s="11" t="inlineStr"/>
      <c r="H51" s="11" t="inlineStr"/>
    </row>
    <row r="52">
      <c r="A52" s="11" t="inlineStr"/>
      <c r="B52" s="11" t="inlineStr"/>
      <c r="C52" s="11" t="inlineStr"/>
      <c r="D52" s="11" t="inlineStr"/>
      <c r="E52" s="11" t="inlineStr"/>
      <c r="F52" s="11" t="inlineStr"/>
      <c r="G52" s="11" t="inlineStr"/>
      <c r="H52" s="11" t="inlineStr"/>
    </row>
    <row r="53">
      <c r="A53" s="11" t="inlineStr"/>
      <c r="B53" s="11" t="inlineStr"/>
      <c r="C53" s="11" t="inlineStr"/>
      <c r="D53" s="11" t="inlineStr"/>
      <c r="E53" s="11" t="inlineStr"/>
      <c r="F53" s="11" t="inlineStr"/>
      <c r="G53" s="11" t="inlineStr"/>
      <c r="H53" s="11" t="inlineStr"/>
    </row>
    <row r="54">
      <c r="A54" s="11" t="inlineStr"/>
      <c r="B54" s="11" t="inlineStr"/>
      <c r="C54" s="11" t="inlineStr"/>
      <c r="D54" s="11" t="inlineStr"/>
      <c r="E54" s="11" t="inlineStr"/>
      <c r="F54" s="11" t="inlineStr"/>
      <c r="G54" s="11" t="inlineStr"/>
      <c r="H54" s="11" t="inlineStr"/>
    </row>
    <row r="55">
      <c r="A55" s="11" t="inlineStr"/>
      <c r="B55" s="11" t="inlineStr"/>
      <c r="C55" s="11" t="inlineStr"/>
      <c r="D55" s="11" t="inlineStr"/>
      <c r="E55" s="11" t="inlineStr"/>
      <c r="F55" s="11" t="inlineStr"/>
      <c r="G55" s="11" t="inlineStr"/>
      <c r="H55" s="11" t="inlineStr"/>
    </row>
    <row r="56">
      <c r="A56" s="11" t="inlineStr"/>
      <c r="B56" s="11" t="inlineStr"/>
      <c r="C56" s="11" t="inlineStr"/>
      <c r="D56" s="11" t="inlineStr"/>
      <c r="E56" s="11" t="inlineStr"/>
      <c r="F56" s="11" t="inlineStr"/>
      <c r="G56" s="11" t="inlineStr"/>
      <c r="H56" s="11" t="inlineStr"/>
    </row>
    <row r="57">
      <c r="A57" s="11" t="inlineStr"/>
      <c r="B57" s="11" t="inlineStr"/>
      <c r="C57" s="11" t="inlineStr"/>
      <c r="D57" s="11" t="inlineStr"/>
      <c r="E57" s="11" t="inlineStr"/>
      <c r="F57" s="11" t="inlineStr"/>
      <c r="G57" s="11" t="inlineStr"/>
      <c r="H57" s="11" t="inlineStr"/>
    </row>
    <row r="58">
      <c r="A58" s="11" t="inlineStr"/>
      <c r="B58" s="11" t="inlineStr"/>
      <c r="C58" s="11" t="inlineStr"/>
      <c r="D58" s="11" t="inlineStr"/>
      <c r="E58" s="11" t="inlineStr"/>
      <c r="F58" s="11" t="inlineStr"/>
      <c r="G58" s="11" t="inlineStr"/>
      <c r="H58" s="11" t="inlineStr"/>
    </row>
    <row r="59">
      <c r="A59" s="11" t="inlineStr"/>
      <c r="B59" s="11" t="inlineStr"/>
      <c r="C59" s="11" t="inlineStr"/>
      <c r="D59" s="11" t="inlineStr"/>
      <c r="E59" s="11" t="inlineStr"/>
      <c r="F59" s="11" t="inlineStr"/>
      <c r="G59" s="11" t="inlineStr"/>
      <c r="H59" s="11" t="inlineStr"/>
    </row>
    <row r="60">
      <c r="A60" s="11" t="inlineStr"/>
      <c r="B60" s="11" t="inlineStr"/>
      <c r="C60" s="11" t="inlineStr"/>
      <c r="D60" s="11" t="inlineStr"/>
      <c r="E60" s="11" t="inlineStr"/>
      <c r="F60" s="11" t="inlineStr"/>
      <c r="G60" s="11" t="inlineStr"/>
      <c r="H60" s="11" t="inlineStr"/>
    </row>
    <row r="61">
      <c r="A61" s="11" t="inlineStr"/>
      <c r="B61" s="11" t="inlineStr"/>
      <c r="C61" s="11" t="inlineStr"/>
      <c r="D61" s="11" t="inlineStr"/>
      <c r="E61" s="11" t="inlineStr"/>
      <c r="F61" s="11" t="inlineStr"/>
      <c r="G61" s="11" t="inlineStr"/>
      <c r="H61" s="11" t="inlineStr"/>
    </row>
    <row r="62">
      <c r="A62" s="11" t="inlineStr"/>
      <c r="B62" s="11" t="inlineStr"/>
      <c r="C62" s="11" t="inlineStr"/>
      <c r="D62" s="11" t="inlineStr"/>
      <c r="E62" s="11" t="inlineStr"/>
      <c r="F62" s="11" t="inlineStr"/>
      <c r="G62" s="11" t="inlineStr"/>
      <c r="H62" s="11" t="inlineStr"/>
    </row>
    <row r="63">
      <c r="A63" s="11" t="inlineStr"/>
      <c r="B63" s="11" t="inlineStr"/>
      <c r="C63" s="11" t="inlineStr"/>
      <c r="D63" s="11" t="inlineStr"/>
      <c r="E63" s="11" t="inlineStr"/>
      <c r="F63" s="11" t="inlineStr"/>
      <c r="G63" s="11" t="inlineStr"/>
      <c r="H63" s="11" t="inlineStr"/>
    </row>
    <row r="64">
      <c r="A64" s="11" t="inlineStr"/>
      <c r="B64" s="11" t="inlineStr"/>
      <c r="C64" s="11" t="inlineStr"/>
      <c r="D64" s="11" t="inlineStr"/>
      <c r="E64" s="11" t="inlineStr"/>
      <c r="F64" s="11" t="inlineStr"/>
      <c r="G64" s="11" t="inlineStr"/>
      <c r="H64" s="11" t="inlineStr"/>
    </row>
    <row r="65">
      <c r="A65" s="11" t="inlineStr"/>
      <c r="B65" s="11" t="inlineStr"/>
      <c r="C65" s="11" t="inlineStr"/>
      <c r="D65" s="11" t="inlineStr"/>
      <c r="E65" s="11" t="inlineStr"/>
      <c r="F65" s="11" t="inlineStr"/>
      <c r="G65" s="11" t="inlineStr"/>
      <c r="H65" s="11" t="inlineStr"/>
    </row>
    <row r="66">
      <c r="A66" s="11" t="inlineStr"/>
      <c r="B66" s="11" t="inlineStr"/>
      <c r="C66" s="11" t="inlineStr"/>
      <c r="D66" s="11" t="inlineStr"/>
      <c r="E66" s="11" t="inlineStr"/>
      <c r="F66" s="11" t="inlineStr"/>
      <c r="G66" s="11" t="inlineStr"/>
      <c r="H66" s="11" t="inlineStr"/>
    </row>
    <row r="67">
      <c r="A67" s="11" t="inlineStr"/>
      <c r="B67" s="11" t="inlineStr"/>
      <c r="C67" s="11" t="inlineStr"/>
      <c r="D67" s="11" t="inlineStr"/>
      <c r="E67" s="11" t="inlineStr"/>
      <c r="F67" s="11" t="inlineStr"/>
      <c r="G67" s="11" t="inlineStr"/>
      <c r="H67" s="11" t="inlineStr"/>
    </row>
    <row r="68">
      <c r="A68" s="11" t="inlineStr"/>
      <c r="B68" s="11" t="inlineStr"/>
      <c r="C68" s="11" t="inlineStr"/>
      <c r="D68" s="11" t="inlineStr"/>
      <c r="E68" s="11" t="inlineStr"/>
      <c r="F68" s="11" t="inlineStr"/>
      <c r="G68" s="11" t="inlineStr"/>
      <c r="H68" s="11" t="inlineStr"/>
    </row>
    <row r="69">
      <c r="A69" s="11" t="inlineStr"/>
      <c r="B69" s="11" t="inlineStr"/>
      <c r="C69" s="11" t="inlineStr"/>
      <c r="D69" s="11" t="inlineStr"/>
      <c r="E69" s="11" t="inlineStr"/>
      <c r="F69" s="11" t="inlineStr"/>
      <c r="G69" s="11" t="inlineStr"/>
      <c r="H69" s="11" t="inlineStr"/>
    </row>
    <row r="70">
      <c r="A70" s="11" t="inlineStr"/>
      <c r="B70" s="11" t="inlineStr"/>
      <c r="C70" s="11" t="inlineStr"/>
      <c r="D70" s="11" t="inlineStr"/>
      <c r="E70" s="11" t="inlineStr"/>
      <c r="F70" s="11" t="inlineStr"/>
      <c r="G70" s="11" t="inlineStr"/>
      <c r="H70" s="11" t="inlineStr"/>
    </row>
    <row r="71">
      <c r="A71" s="11" t="inlineStr"/>
      <c r="B71" s="11" t="inlineStr"/>
      <c r="C71" s="11" t="inlineStr"/>
      <c r="D71" s="11" t="inlineStr"/>
      <c r="E71" s="11" t="inlineStr"/>
      <c r="F71" s="11" t="inlineStr"/>
      <c r="G71" s="11" t="inlineStr"/>
      <c r="H71" s="11" t="inlineStr"/>
    </row>
    <row r="72">
      <c r="A72" s="11" t="inlineStr"/>
      <c r="B72" s="11" t="inlineStr"/>
      <c r="C72" s="11" t="inlineStr"/>
      <c r="D72" s="11" t="inlineStr"/>
      <c r="E72" s="11" t="inlineStr"/>
      <c r="F72" s="11" t="inlineStr"/>
      <c r="G72" s="11" t="inlineStr"/>
      <c r="H72" s="11" t="inlineStr"/>
    </row>
    <row r="73">
      <c r="A73" s="11" t="inlineStr"/>
      <c r="B73" s="11" t="inlineStr"/>
      <c r="C73" s="11" t="inlineStr"/>
      <c r="D73" s="11" t="inlineStr"/>
      <c r="E73" s="11" t="inlineStr"/>
      <c r="F73" s="11" t="inlineStr"/>
      <c r="G73" s="11" t="inlineStr"/>
      <c r="H73" s="11" t="inlineStr"/>
    </row>
    <row r="74">
      <c r="A74" s="11" t="inlineStr"/>
      <c r="B74" s="11" t="inlineStr"/>
      <c r="C74" s="11" t="inlineStr"/>
      <c r="D74" s="11" t="inlineStr"/>
      <c r="E74" s="11" t="inlineStr"/>
      <c r="F74" s="11" t="inlineStr"/>
      <c r="G74" s="11" t="inlineStr"/>
      <c r="H74" s="11" t="inlineStr"/>
    </row>
  </sheetData>
  <mergeCells count="1">
    <mergeCell ref="A2:N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E49"/>
  <sheetViews>
    <sheetView showGridLines="0" zoomScale="90"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8" customHeight="1">
      <c r="A1" s="1" t="inlineStr">
        <is>
          <t>Comparación v3 → v4 → v5 y resultados contra umbrales</t>
        </is>
      </c>
      <c r="B1" s="2" t="n"/>
      <c r="C1" s="2" t="n"/>
      <c r="D1" s="2" t="n"/>
      <c r="E1" s="2" t="n"/>
    </row>
    <row r="2" ht="16" customHeight="1">
      <c r="A2" s="3" t="inlineStr">
        <is>
          <t>Parte A: métricas de diseño verificadas en el código y en el navegador (no son datos de usuarios). Parte B: se completa sola desde 08 y 09 al registrar el test.</t>
        </is>
      </c>
    </row>
    <row r="3"/>
    <row r="4" ht="30" customHeight="1">
      <c r="A4" s="4" t="inlineStr">
        <is>
          <t>Métrica de diseño</t>
        </is>
      </c>
      <c r="B4" s="4" t="inlineStr">
        <is>
          <t>v3 (09-10)</t>
        </is>
      </c>
      <c r="C4" s="4" t="inlineStr">
        <is>
          <t>v4 (10-10)</t>
        </is>
      </c>
      <c r="D4" s="4" t="inlineStr">
        <is>
          <t>v5 (12-10)</t>
        </is>
      </c>
      <c r="E4" s="4" t="inlineStr">
        <is>
          <t>Cómo se verificó</t>
        </is>
      </c>
    </row>
    <row r="5">
      <c r="A5" s="5" t="inlineStr">
        <is>
          <t>Pantallas desde Empresas hasta elegir el canal humano (camino principal)</t>
        </is>
      </c>
      <c r="B5" s="10" t="n">
        <v>10</v>
      </c>
      <c r="C5" s="10" t="n">
        <v>8</v>
      </c>
      <c r="D5" s="10" t="n">
        <v>8</v>
      </c>
      <c r="E5" s="6" t="inlineStr">
        <is>
          <t>v5: C02, C03, 5 preguntas, C05; C05 muestra la solución preliminar antes del canal.</t>
        </is>
      </c>
    </row>
    <row r="6">
      <c r="A6" s="5" t="inlineStr">
        <is>
          <t>Pantallas entre la última pregunta y la elección de contacto</t>
        </is>
      </c>
      <c r="B6" s="10" t="n">
        <v>2</v>
      </c>
      <c r="C6" s="10" t="n">
        <v>0</v>
      </c>
      <c r="D6" s="10" t="n">
        <v>0</v>
      </c>
      <c r="E6" s="6" t="inlineStr">
        <is>
          <t>v4 y v5: C05 justo después de la última pregunta.</t>
        </is>
      </c>
    </row>
    <row r="7">
      <c r="A7" s="5" t="inlineStr">
        <is>
          <t>Canales humanos al terminar el diagnóstico</t>
        </is>
      </c>
      <c r="B7" s="10" t="inlineStr">
        <is>
          <t>Solo al final (C10)</t>
        </is>
      </c>
      <c r="C7" s="10" t="inlineStr">
        <is>
          <t>3 inmediatos</t>
        </is>
      </c>
      <c r="D7" s="10" t="inlineStr">
        <is>
          <t>3 + llamada en vivo con ficha</t>
        </is>
      </c>
      <c r="E7" s="6" t="inlineStr">
        <is>
          <t>C05 y C06; en v5 la ficha de la llamada se ve en el portal.</t>
        </is>
      </c>
    </row>
    <row r="8">
      <c r="A8" s="5" t="inlineStr">
        <is>
          <t>Secciones en el menú del CRM</t>
        </is>
      </c>
      <c r="B8" s="10" t="n">
        <v>12</v>
      </c>
      <c r="C8" s="10" t="n">
        <v>6</v>
      </c>
      <c r="D8" s="10" t="inlineStr">
        <is>
          <t>5 por rol (3 roles)</t>
        </is>
      </c>
      <c r="E8" s="6" t="inlineStr">
        <is>
          <t>Código del menú v3, v4 y D.ROLE_MENUS (v5).</t>
        </is>
      </c>
    </row>
    <row r="9">
      <c r="A9" s="5" t="inlineStr">
        <is>
          <t>Puntajes que incorporan la geografía</t>
        </is>
      </c>
      <c r="B9" s="10" t="inlineStr">
        <is>
          <t>0 de 2</t>
        </is>
      </c>
      <c r="C9" s="10" t="inlineStr">
        <is>
          <t>2 de 2</t>
        </is>
      </c>
      <c r="D9" s="10" t="inlineStr">
        <is>
          <t>2 de 2</t>
        </is>
      </c>
      <c r="E9" s="6" t="inlineStr">
        <is>
          <t>Engagement (evento 14) y Financial (15 % zona).</t>
        </is>
      </c>
    </row>
    <row r="10">
      <c r="A10" s="5" t="inlineStr">
        <is>
          <t>Clips con tazas y bolsas Marley Coffee legibles en todo el video</t>
        </is>
      </c>
      <c r="B10" s="10" t="inlineStr">
        <is>
          <t>0 de 4</t>
        </is>
      </c>
      <c r="C10" s="10" t="inlineStr">
        <is>
          <t>2 de 2</t>
        </is>
      </c>
      <c r="D10" s="10" t="inlineStr">
        <is>
          <t>6 de 6</t>
        </is>
      </c>
      <c r="E10" s="6" t="inlineStr">
        <is>
          <t>Revisión cuadro a cuadro (hojas de contacto de cada toma).</t>
        </is>
      </c>
    </row>
    <row r="11">
      <c r="A11" s="5" t="inlineStr">
        <is>
          <t>Entregables con multimedia en su forma correcta</t>
        </is>
      </c>
      <c r="B11" s="10" t="inlineStr">
        <is>
          <t>1 de 3</t>
        </is>
      </c>
      <c r="C11" s="10" t="inlineStr">
        <is>
          <t>3 de 3</t>
        </is>
      </c>
      <c r="D11" s="10" t="inlineStr">
        <is>
          <t>3 de 3</t>
        </is>
      </c>
      <c r="E11" s="6" t="inlineStr">
        <is>
          <t>v5: prototipo con escenas al scroll; mockups con fotogramas; wireframes con cajas FOTO y VIDEO (prueba automática).</t>
        </is>
      </c>
    </row>
    <row r="12">
      <c r="A12" s="5" t="inlineStr">
        <is>
          <t>Lead magnets con su promesa visible antes del esfuerzo (LM1–LM7)</t>
        </is>
      </c>
      <c r="B12" s="10" t="inlineStr">
        <is>
          <t>Parcial</t>
        </is>
      </c>
      <c r="C12" s="10" t="inlineStr">
        <is>
          <t>7 de 7</t>
        </is>
      </c>
      <c r="D12" s="10" t="inlineStr">
        <is>
          <t>7 de 7</t>
        </is>
      </c>
      <c r="E12" s="6" t="inlineStr">
        <is>
          <t>tests/qa_v4.py y tests/qa_v5.py.</t>
        </is>
      </c>
    </row>
    <row r="13">
      <c r="A13" s="5" t="inlineStr">
        <is>
          <t>Errores de ejecución en todas las pantallas × 3 archivos (escritorio y celular)</t>
        </is>
      </c>
      <c r="B13" s="10" t="inlineStr">
        <is>
          <t>—</t>
        </is>
      </c>
      <c r="C13" s="10" t="n">
        <v>0</v>
      </c>
      <c r="D13" s="10" t="n">
        <v>0</v>
      </c>
      <c r="E13" s="6" t="inlineStr">
        <is>
          <t>v5: 25 rutas, tests/qa_v5.py, 12-10-2026.</t>
        </is>
      </c>
    </row>
    <row r="14">
      <c r="A14" s="5" t="inlineStr">
        <is>
          <t>Fuentes oficiales de Marley Coffee cargadas (Festivo y GT Pressura)</t>
        </is>
      </c>
      <c r="B14" s="10" t="inlineStr">
        <is>
          <t>0 de 2</t>
        </is>
      </c>
      <c r="C14" s="10" t="inlineStr">
        <is>
          <t>0 de 2</t>
        </is>
      </c>
      <c r="D14" s="10" t="inlineStr">
        <is>
          <t>2 de 2</t>
        </is>
      </c>
      <c r="E14" s="6" t="inlineStr">
        <is>
          <t>document.fonts.check en la prueba automática.</t>
        </is>
      </c>
    </row>
    <row r="15">
      <c r="A15" s="5" t="inlineStr">
        <is>
          <t>Amarillo de marca</t>
        </is>
      </c>
      <c r="B15" s="10" t="inlineStr">
        <is>
          <t>#F3C900</t>
        </is>
      </c>
      <c r="C15" s="10" t="inlineStr">
        <is>
          <t>#F3C900</t>
        </is>
      </c>
      <c r="D15" s="10" t="inlineStr">
        <is>
          <t>#F7BE00 (oficial)</t>
        </is>
      </c>
      <c r="E15" s="6" t="inlineStr">
        <is>
          <t>CSS oficial de marleycoffee.cl.</t>
        </is>
      </c>
    </row>
    <row r="16">
      <c r="A16" s="5" t="inlineStr">
        <is>
          <t>Peso del HTML del prototipo</t>
        </is>
      </c>
      <c r="B16" s="10" t="inlineStr">
        <is>
          <t>—</t>
        </is>
      </c>
      <c r="C16" s="10" t="inlineStr">
        <is>
          <t>7,5 MB</t>
        </is>
      </c>
      <c r="D16" s="10" t="inlineStr">
        <is>
          <t>0,63 MB</t>
        </is>
      </c>
      <c r="E16" s="6" t="inlineStr">
        <is>
          <t>Multimedia en la carpeta recursos/ (build v5).</t>
        </is>
      </c>
    </row>
    <row r="17">
      <c r="A17" s="5" t="inlineStr">
        <is>
          <t>Lighthouse de la landing (escritorio / celular, con gzip)</t>
        </is>
      </c>
      <c r="B17" s="10" t="inlineStr">
        <is>
          <t>—</t>
        </is>
      </c>
      <c r="C17" s="10" t="inlineStr">
        <is>
          <t>—</t>
        </is>
      </c>
      <c r="D17" s="10" t="inlineStr">
        <is>
          <t>98–99 / 71</t>
        </is>
      </c>
      <c r="E17" s="6" t="inlineStr">
        <is>
          <t>Lighthouse local 13-10-2026, versión final (mediana de cuatro corridas en celular: 68–74; la versión anterior medida en las mismas condiciones: 63–69); LCP 0,8 s / 3,6 s; TBT ~0,1 s / ~0,6 s; CLS 0.</t>
        </is>
      </c>
    </row>
    <row r="18">
      <c r="A18" s="5" t="inlineStr">
        <is>
          <t>Máquinas oficiales para empresas con foto</t>
        </is>
      </c>
      <c r="B18" s="10" t="n">
        <v>0</v>
      </c>
      <c r="C18" s="10" t="n">
        <v>0</v>
      </c>
      <c r="D18" s="10" t="n">
        <v>4</v>
      </c>
      <c r="E18" s="6" t="inlineStr">
        <is>
          <t>Café al paso, Bar, Oficina y Pods (marleycoffee.cl/contactanos).</t>
        </is>
      </c>
    </row>
    <row r="19">
      <c r="A19" s="5" t="inlineStr">
        <is>
          <t>Rangos de precio visibles (supuestos rotulados)</t>
        </is>
      </c>
      <c r="B19" s="10" t="inlineStr">
        <is>
          <t>Sin precios</t>
        </is>
      </c>
      <c r="C19" s="10" t="inlineStr">
        <is>
          <t>Sin precios</t>
        </is>
      </c>
      <c r="D19" s="10" t="inlineStr">
        <is>
          <t>4 máquinas, café y 7 servicios</t>
        </is>
      </c>
      <c r="E19" s="6" t="inlineStr">
        <is>
          <t>Hoja 19; rótulo «Precio supuesto (académico)» en pantalla.</t>
        </is>
      </c>
    </row>
    <row r="20">
      <c r="A20" s="5" t="inlineStr">
        <is>
          <t>Estados del portal del cliente</t>
        </is>
      </c>
      <c r="B20" s="10" t="n">
        <v>1</v>
      </c>
      <c r="C20" s="10" t="n">
        <v>1</v>
      </c>
      <c r="D20" s="10" t="n">
        <v>5</v>
      </c>
      <c r="E20" s="6" t="inlineStr">
        <is>
          <t>M4.portalState: registrado, en contacto, tu solución, propuesta y cliente.</t>
        </is>
      </c>
    </row>
    <row r="21">
      <c r="A21" s="7" t="inlineStr">
        <is>
          <t>Datos estructurados (JSON-LD) en la landing</t>
        </is>
      </c>
      <c r="B21" s="14" t="n">
        <v>0</v>
      </c>
      <c r="C21" s="14" t="n">
        <v>0</v>
      </c>
      <c r="D21" s="14" t="inlineStr">
        <is>
          <t>5 tipos</t>
        </is>
      </c>
      <c r="E21" s="8" t="inlineStr">
        <is>
          <t>Organization, Product ×4, Service ×2, FAQPage y BreadcrumbList.</t>
        </is>
      </c>
    </row>
    <row r="22"/>
    <row r="23"/>
    <row r="24" ht="30" customHeight="1">
      <c r="A24" s="4" t="inlineStr">
        <is>
          <t>Parte B · Resultado del test (ronda 1, 15-10-2026)</t>
        </is>
      </c>
      <c r="B24" s="4" t="inlineStr">
        <is>
          <t>Umbral</t>
        </is>
      </c>
      <c r="C24" s="4" t="inlineStr">
        <is>
          <t>Resultado</t>
        </is>
      </c>
      <c r="D24" s="4" t="inlineStr">
        <is>
          <t>¿Cumple?</t>
        </is>
      </c>
      <c r="E24" s="4" t="inlineStr">
        <is>
          <t>Fuente</t>
        </is>
      </c>
    </row>
    <row r="25">
      <c r="A25" s="5" t="inlineStr">
        <is>
          <t>Éxito sin ayuda · sitio (T1, 3 clientes)</t>
        </is>
      </c>
      <c r="B25" s="37" t="n">
        <v>0.8</v>
      </c>
      <c r="C25" s="35">
        <f>'08_TEST_REGISTRO'!D15</f>
        <v/>
      </c>
      <c r="D25" s="21">
        <f>IF(ISNUMBER(C25),IF(C25&gt;=B25,"Sí","No"),"pendiente")</f>
        <v/>
      </c>
      <c r="E25" s="6" t="inlineStr">
        <is>
          <t>08_TEST_REGISTRO</t>
        </is>
      </c>
    </row>
    <row r="26">
      <c r="A26" s="5" t="inlineStr">
        <is>
          <t>Éxito sin ayuda · CRM (T7 y T9)</t>
        </is>
      </c>
      <c r="B26" s="37" t="n">
        <v>0.8</v>
      </c>
      <c r="C26" s="35">
        <f>AVERAGE('08_TEST_REGISTRO'!D16,'08_TEST_REGISTRO'!D17)</f>
        <v/>
      </c>
      <c r="D26" s="21">
        <f>IF(ISNUMBER(C26),IF(C26&gt;=B26,"Sí","No"),"pendiente")</f>
        <v/>
      </c>
      <c r="E26" s="6" t="inlineStr">
        <is>
          <t>08_TEST_REGISTRO</t>
        </is>
      </c>
    </row>
    <row r="27">
      <c r="A27" s="5" t="inlineStr">
        <is>
          <t>SEQ promedio · sitio (T1)</t>
        </is>
      </c>
      <c r="B27" s="10" t="n">
        <v>5.5</v>
      </c>
      <c r="C27" s="36">
        <f>'08_TEST_REGISTRO'!G15</f>
        <v/>
      </c>
      <c r="D27" s="21">
        <f>IF(ISNUMBER(C27),IF(C27&gt;=B27,"Sí","No"),"pendiente")</f>
        <v/>
      </c>
      <c r="E27" s="6" t="inlineStr">
        <is>
          <t>08_TEST_REGISTRO</t>
        </is>
      </c>
    </row>
    <row r="28">
      <c r="A28" s="5" t="inlineStr">
        <is>
          <t>SEQ promedio · CRM (T7 y T9)</t>
        </is>
      </c>
      <c r="B28" s="10" t="n">
        <v>5.5</v>
      </c>
      <c r="C28" s="36">
        <f>AVERAGE('08_TEST_REGISTRO'!G16,'08_TEST_REGISTRO'!G17)</f>
        <v/>
      </c>
      <c r="D28" s="21">
        <f>IF(ISNUMBER(C28),IF(C28&gt;=B28,"Sí","No"),"pendiente")</f>
        <v/>
      </c>
      <c r="E28" s="6" t="inlineStr">
        <is>
          <t>08_TEST_REGISTRO</t>
        </is>
      </c>
    </row>
    <row r="29">
      <c r="A29" s="5" t="inlineStr">
        <is>
          <t>SUS promedio · clientes</t>
        </is>
      </c>
      <c r="B29" s="10" t="n">
        <v>68</v>
      </c>
      <c r="C29" s="36">
        <f>'09_SUS'!D10</f>
        <v/>
      </c>
      <c r="D29" s="21">
        <f>IF(ISNUMBER(C29),IF(C29&gt;=B29,"Sí","No"),"pendiente")</f>
        <v/>
      </c>
      <c r="E29" s="6" t="inlineStr">
        <is>
          <t>09_SUS</t>
        </is>
      </c>
    </row>
    <row r="30">
      <c r="A30" s="5" t="inlineStr">
        <is>
          <t>SUS promedio · equipo</t>
        </is>
      </c>
      <c r="B30" s="10" t="n">
        <v>68</v>
      </c>
      <c r="C30" s="36">
        <f>'09_SUS'!D11</f>
        <v/>
      </c>
      <c r="D30" s="21">
        <f>IF(ISNUMBER(C30),IF(C30&gt;=B30,"Sí","No"),"pendiente")</f>
        <v/>
      </c>
      <c r="E30" s="6" t="inlineStr">
        <is>
          <t>09_SUS</t>
        </is>
      </c>
    </row>
    <row r="31">
      <c r="A31" s="7" t="inlineStr">
        <is>
          <t>Problemas de severidad 4 abiertos</t>
        </is>
      </c>
      <c r="B31" s="14" t="n">
        <v>0</v>
      </c>
      <c r="C31" s="32">
        <f>COUNTIFS('10_HALLAZGOS'!K5:K60,4,'10_HALLAZGOS'!N5:N60,"&lt;&gt;Incorporado*")</f>
        <v/>
      </c>
      <c r="D31" s="22">
        <f>IF(ISNUMBER(C31),IF(C31&lt;=B31,"Sí","No"),"pendiente")</f>
        <v/>
      </c>
      <c r="E31" s="8" t="inlineStr">
        <is>
          <t>10_HALLAZGOS</t>
        </is>
      </c>
    </row>
    <row r="32"/>
    <row r="33"/>
    <row r="34" ht="30" customHeight="1">
      <c r="A34" s="4" t="inlineStr">
        <is>
          <t>Parte C · Cambio verificado después del test (v5 probado → v6.1)</t>
        </is>
      </c>
      <c r="B34" s="4" t="inlineStr">
        <is>
          <t>v5 (probado el 15-10)</t>
        </is>
      </c>
      <c r="C34" s="4" t="inlineStr">
        <is>
          <t>v6.1 (15-10)</t>
        </is>
      </c>
      <c r="D34" s="4" t="inlineStr">
        <is>
          <t>Cómo se verificó</t>
        </is>
      </c>
      <c r="E34" s="4" t="inlineStr">
        <is>
          <t>Hallazgo</t>
        </is>
      </c>
    </row>
    <row r="35">
      <c r="A35" s="5" t="inlineStr">
        <is>
          <t>Datos que se piden antes del diagnóstico</t>
        </is>
      </c>
      <c r="B35" s="10" t="inlineStr">
        <is>
          <t>4 campos (nombre, correo, celular y permiso), sin +56 9</t>
        </is>
      </c>
      <c r="C35" s="10" t="inlineStr">
        <is>
          <t>3 datos + permiso (nombre, correo y WhatsApp con +56 9 escrito); la comuna pasa al paso 2; con ellos se recupera a quien abandona</t>
        </is>
      </c>
      <c r="D35" s="10" t="inlineStr">
        <is>
          <t>tests/qa_v5.py: C02 → C03 → C04 → C05; aviso de abandono programado</t>
        </is>
      </c>
      <c r="E35" s="6" t="inlineStr">
        <is>
          <t>H23</t>
        </is>
      </c>
    </row>
    <row r="36">
      <c r="A36" s="5" t="inlineStr">
        <is>
          <t>Pasos del diagnóstico</t>
        </is>
      </c>
      <c r="B36" s="10" t="inlineStr">
        <is>
          <t>5 preguntas, una por pantalla</t>
        </is>
      </c>
      <c r="C36" s="10" t="inlineStr">
        <is>
          <t>3 pasos; el negocio se salta si ya se eligió y lo típico viene marcado</t>
        </is>
      </c>
      <c r="D36" s="10" t="inlineStr">
        <is>
          <t>qa_v5: «Paso 2 de 3» y valores sugeridos marcados</t>
        </is>
      </c>
      <c r="E36" s="6" t="inlineStr">
        <is>
          <t>H28</t>
        </is>
      </c>
    </row>
    <row r="37">
      <c r="A37" s="5" t="inlineStr">
        <is>
          <t>Toques mínimos desde «Quiero esto en mi negocio» hasta ver el precio</t>
        </is>
      </c>
      <c r="B37" s="10" t="inlineStr">
        <is>
          <t>15 (5 en el formulario y 10 en las preguntas)</t>
        </is>
      </c>
      <c r="C37" s="10" t="inlineStr">
        <is>
          <t>8 (5 en los datos y 3 en los pasos: comuna, «Continuar» y «Ver mi propuesta»)</t>
        </is>
      </c>
      <c r="D37" s="10" t="inlineStr">
        <is>
          <t>Conteo sobre el camino de qa_v5</t>
        </is>
      </c>
      <c r="E37" s="6" t="inlineStr">
        <is>
          <t>H23, H28</t>
        </is>
      </c>
    </row>
    <row r="38">
      <c r="A38" s="5" t="inlineStr">
        <is>
          <t>Espera para ver la propuesta ajustada</t>
        </is>
      </c>
      <c r="B38" s="10" t="inlineStr">
        <is>
          <t>8 s de «nueva propuesta» (simulada)</t>
        </is>
      </c>
      <c r="C38" s="10" t="inlineStr">
        <is>
          <t>0 s: se recalcula al instante</t>
        </is>
      </c>
      <c r="D38" s="10" t="inlineStr">
        <is>
          <t>M4.TM.proposal_after (v5) · setQuote (v6)</t>
        </is>
      </c>
      <c r="E38" s="6" t="inlineStr">
        <is>
          <t>H25</t>
        </is>
      </c>
    </row>
    <row r="39">
      <c r="A39" s="5" t="inlineStr">
        <is>
          <t>Propuesta lista al terminar el diagnóstico</t>
        </is>
      </c>
      <c r="B39" s="10" t="inlineStr">
        <is>
          <t>No: la preparaba la ejecutiva</t>
        </is>
      </c>
      <c r="C39" s="10" t="inlineStr">
        <is>
          <t>Sí: la arma el agente de ventas al instante</t>
        </is>
      </c>
      <c r="D39" s="10" t="inlineStr">
        <is>
          <t>qa_v5: propuesta en estado «lista» en C05</t>
        </is>
      </c>
      <c r="E39" s="6" t="inlineStr">
        <is>
          <t>H24, H25</t>
        </is>
      </c>
    </row>
    <row r="40">
      <c r="A40" s="5" t="inlineStr">
        <is>
          <t>Momentos de la portada animada</t>
        </is>
      </c>
      <c r="B40" s="10" t="inlineStr">
        <is>
          <t>3 (280 vh; 240 vh en celular)</t>
        </is>
      </c>
      <c r="C40" s="10" t="inlineStr">
        <is>
          <t>2 (200 vh; 170 vh en celular), con la atención en vivo en una línea abajo</t>
        </is>
      </c>
      <c r="D40" s="10" t="inlineStr">
        <is>
          <t>CSS v6 y qa_v5</t>
        </is>
      </c>
      <c r="E40" s="6" t="inlineStr">
        <is>
          <t>H27</t>
        </is>
      </c>
    </row>
    <row r="41">
      <c r="A41" s="5" t="inlineStr">
        <is>
          <t>«Ver mi solución» antes de ver las máquinas</t>
        </is>
      </c>
      <c r="B41" s="10" t="inlineStr">
        <is>
          <t>Sí (portada, encabezado y barra fija)</t>
        </is>
      </c>
      <c r="C41" s="10" t="inlineStr">
        <is>
          <t>No: aparece después del carrusel de máquinas</t>
        </is>
      </c>
      <c r="D41" s="10" t="inlineStr">
        <is>
          <t>qa_v5: opacidad 0 e inactivo al inicio</t>
        </is>
      </c>
      <c r="E41" s="6" t="inlineStr">
        <is>
          <t>H26</t>
        </is>
      </c>
    </row>
    <row r="42">
      <c r="A42" s="5" t="inlineStr">
        <is>
          <t>«MENÚ» y Empresas a la vista en la tienda (celular)</t>
        </is>
      </c>
      <c r="B42" s="10" t="inlineStr">
        <is>
          <t>Solo el ícono; Empresas dentro del menú</t>
        </is>
      </c>
      <c r="C42" s="10" t="inlineStr">
        <is>
          <t>«MENÚ» bajo el ícono y franja «¿Compras para tu negocio? Empresas →»</t>
        </is>
      </c>
      <c r="D42" s="10" t="inlineStr">
        <is>
          <t>qa_v5 en celular (390 × 844)</t>
        </is>
      </c>
      <c r="E42" s="6" t="inlineStr">
        <is>
          <t>H22</t>
        </is>
      </c>
    </row>
    <row r="43">
      <c r="A43" s="5" t="inlineStr">
        <is>
          <t>La ejecutiva ve lo que cotizó el cliente junto al chat</t>
        </is>
      </c>
      <c r="B43" s="10" t="inlineStr">
        <is>
          <t>No</t>
        </is>
      </c>
      <c r="C43" s="10" t="inlineStr">
        <is>
          <t>Sí, en vivo, con la propuesta sugerida y «Enviar propuesta sugerida»</t>
        </is>
      </c>
      <c r="D43" s="10" t="inlineStr">
        <is>
          <t>qa_v5: R02 con lo cotizado y la tarjeta del agente</t>
        </is>
      </c>
      <c r="E43" s="6" t="inlineStr">
        <is>
          <t>H31</t>
        </is>
      </c>
    </row>
    <row r="44">
      <c r="A44" s="5" t="inlineStr">
        <is>
          <t>Ancho del chat del CRM (1366 × 900)</t>
        </is>
      </c>
      <c r="B44" s="10" t="inlineStr">
        <is>
          <t>438 px</t>
        </is>
      </c>
      <c r="C44" s="10" t="inlineStr">
        <is>
          <t>732 px</t>
        </is>
      </c>
      <c r="D44" s="10" t="inlineStr">
        <is>
          <t>Medición en el navegador (15-10)</t>
        </is>
      </c>
      <c r="E44" s="6" t="inlineStr">
        <is>
          <t>H36</t>
        </is>
      </c>
    </row>
    <row r="45">
      <c r="A45" s="5" t="inlineStr">
        <is>
          <t>Elementos con aspecto de botón que no respondían (CRM)</t>
        </is>
      </c>
      <c r="B45" s="10" t="inlineStr">
        <is>
          <t>Campana, tarjeta del cliente e indicadores</t>
        </is>
      </c>
      <c r="C45" s="10" t="inlineStr">
        <is>
          <t>Responden: avisos, ficha y detalle de cada indicador</t>
        </is>
      </c>
      <c r="D45" s="10" t="inlineStr">
        <is>
          <t>qa_v5 y tests/botones.py (clic real)</t>
        </is>
      </c>
      <c r="E45" s="6" t="inlineStr">
        <is>
          <t>H32</t>
        </is>
      </c>
    </row>
    <row r="46">
      <c r="A46" s="5" t="inlineStr">
        <is>
          <t>Botones que crecían al tocarlos (onda del toque)</t>
        </is>
      </c>
      <c r="B46" s="10" t="inlineStr">
        <is>
          <t>Sí: el clic podía caer en otro botón o en el vacío</t>
        </is>
      </c>
      <c r="C46" s="10" t="inlineStr">
        <is>
          <t>No: la onda queda fuera del flujo</t>
        </is>
      </c>
      <c r="D46" s="10" t="inlineStr">
        <is>
          <t>Prueba con clics reales de mouse (15-10)</t>
        </is>
      </c>
      <c r="E46" s="6" t="inlineStr">
        <is>
          <t>H32</t>
        </is>
      </c>
    </row>
    <row r="47">
      <c r="A47" s="5" t="inlineStr">
        <is>
          <t>Ingreso con el usuario escrito con mayúsculas o espacios</t>
        </is>
      </c>
      <c r="B47" s="10" t="inlineStr">
        <is>
          <t>No entraba</t>
        </is>
      </c>
      <c r="C47" s="10" t="inlineStr">
        <is>
          <t>Entra (sin distinguir mayúsculas, tildes, espacios ni dominio)</t>
        </is>
      </c>
      <c r="D47" s="10" t="inlineStr">
        <is>
          <t>qa_v5: « Paula.Diaz@marleycoffee.cl » y «Demo»</t>
        </is>
      </c>
      <c r="E47" s="6" t="inlineStr">
        <is>
          <t>H35</t>
        </is>
      </c>
    </row>
    <row r="48">
      <c r="A48" s="5" t="inlineStr">
        <is>
          <t>Panel de jefatura</t>
        </is>
      </c>
      <c r="B48" s="10" t="inlineStr">
        <is>
          <t>12 indicadores del mismo color, sin detalle</t>
        </is>
      </c>
      <c r="C48" s="10" t="inlineStr">
        <is>
          <t>3 principales con color según tendencia, filtros de período y zona y detalle al tocar</t>
        </is>
      </c>
      <c r="D48" s="10" t="inlineStr">
        <is>
          <t>qa_v5: R05 en escritorio y celular</t>
        </is>
      </c>
      <c r="E48" s="6" t="inlineStr">
        <is>
          <t>H33, H34</t>
        </is>
      </c>
    </row>
    <row r="49">
      <c r="A49" s="7" t="inlineStr">
        <is>
          <t>Puntaje de leads (tabla M2)</t>
        </is>
      </c>
      <c r="B49" s="14" t="inlineStr">
        <is>
          <t>13 eventos + comuna</t>
        </is>
      </c>
      <c r="C49" s="14" t="inlineStr">
        <is>
          <t>Los mismos 13 eventos + comuna: cambia el momento, no los puntos</t>
        </is>
      </c>
      <c r="D49" s="14" t="inlineStr">
        <is>
          <t>qa_v5: eventos únicos, puntos de la tabla y tope 100</t>
        </is>
      </c>
      <c r="E49" s="8" t="inlineStr">
        <is>
          <t>—</t>
        </is>
      </c>
    </row>
  </sheetData>
  <mergeCells count="1">
    <mergeCell ref="A2:E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H3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6" customWidth="1" min="3" max="3"/>
    <col width="34" customWidth="1" min="4" max="4"/>
    <col width="44" customWidth="1" min="5" max="5"/>
    <col width="12" customWidth="1" min="6" max="6"/>
    <col width="32" customWidth="1" min="7" max="7"/>
    <col width="9" customWidth="1" min="8" max="8"/>
  </cols>
  <sheetData>
    <row r="1" ht="28" customHeight="1">
      <c r="A1" s="1" t="inlineStr">
        <is>
          <t>Hipótesis, supuestos, trade-offs y próximos experimentos</t>
        </is>
      </c>
      <c r="B1" s="2" t="n"/>
      <c r="C1" s="2" t="n"/>
      <c r="D1" s="2" t="n"/>
      <c r="E1" s="2" t="n"/>
      <c r="F1" s="2" t="n"/>
      <c r="G1" s="2" t="n"/>
      <c r="H1" s="2" t="n"/>
    </row>
    <row r="2" ht="26" customHeight="1">
      <c r="A2" s="3" t="inlineStr">
        <is>
          <t>Las hipótesis H1 a H6 son las mismas del informe (si…, esperamos…, KPI y meta); «riesgo si es falso» dice qué pasa si no se cumple. Cada supuesto tiene la forma de validarlo. Los experimentos se ordenan por prioridad.</t>
        </is>
      </c>
    </row>
    <row r="3"/>
    <row r="4" ht="30" customHeight="1">
      <c r="A4" s="4" t="inlineStr">
        <is>
          <t>ID</t>
        </is>
      </c>
      <c r="B4" s="4" t="inlineStr">
        <is>
          <t>Tipo</t>
        </is>
      </c>
      <c r="C4" s="4" t="inlineStr">
        <is>
          <t>Descripción</t>
        </is>
      </c>
      <c r="D4" s="4" t="inlineStr">
        <is>
          <t>Riesgo si es falso</t>
        </is>
      </c>
      <c r="E4" s="4" t="inlineStr">
        <is>
          <t>Cómo se valida / experimento</t>
        </is>
      </c>
      <c r="F4" s="4" t="inlineStr">
        <is>
          <t>Métrica</t>
        </is>
      </c>
      <c r="G4" s="4" t="inlineStr">
        <is>
          <t>Criterio de decisión</t>
        </is>
      </c>
      <c r="H4" s="4" t="inlineStr">
        <is>
          <t>Prioridad</t>
        </is>
      </c>
    </row>
    <row r="5">
      <c r="A5" s="5" t="inlineStr">
        <is>
          <t>H1</t>
        </is>
      </c>
      <c r="B5" s="10" t="inlineStr">
        <is>
          <t>Hipótesis</t>
        </is>
      </c>
      <c r="C5" s="10" t="inlineStr">
        <is>
          <t>Si el negocio deja tres datos al principio, con algo a cambio, y recibe su propuesta al instante, esperamos más contactos identificados, más propuestas aceptadas y recuperar a quien abandona.</t>
        </is>
      </c>
      <c r="D5" s="10" t="inlineStr">
        <is>
          <t>El sistema junta visitas y no contactos identificados, y quien abandona no se recupera.</t>
        </is>
      </c>
      <c r="E5" s="10" t="inlineStr">
        <is>
          <t>Ronda 2 (E1) y piloto.</t>
        </is>
      </c>
      <c r="F5" s="10" t="inlineStr">
        <is>
          <t>K02, K09</t>
        </is>
      </c>
      <c r="G5" s="10" t="inlineStr">
        <is>
          <t>Identificación (K02) y aceptación (K09) [A LEVANTAR]; lead a cliente (K10) de 12 % a 18 %* en 12 meses.</t>
        </is>
      </c>
      <c r="H5" s="6" t="inlineStr">
        <is>
          <t>Alta</t>
        </is>
      </c>
    </row>
    <row r="6">
      <c r="A6" s="5" t="inlineStr">
        <is>
          <t>H2</t>
        </is>
      </c>
      <c r="B6" s="10" t="inlineStr">
        <is>
          <t>Hipótesis</t>
        </is>
      </c>
      <c r="C6" s="10" t="inlineStr">
        <is>
          <t>Si cada paso es un evento con su canal de origen, esperamos saber qué canal trae clientes, no solo visitas, y mover la inversión a lo que convierte.</t>
        </is>
      </c>
      <c r="D6" s="10" t="inlineStr">
        <is>
          <t>Se sigue invirtiendo sin saber qué canal trae clientes.</t>
        </is>
      </c>
      <c r="E6" s="10" t="inlineStr">
        <is>
          <t>Piloto y experimento de la landing (E6).</t>
        </is>
      </c>
      <c r="F6" s="10" t="inlineStr">
        <is>
          <t>K01, K10</t>
        </is>
      </c>
      <c r="G6" s="10" t="inlineStr">
        <is>
          <t>Acceso a Empresas por canal (K01); costo por cliente −33 % al pasar de 12 % a 18 %* (hoja 16).</t>
        </is>
      </c>
      <c r="H6" s="6" t="inlineStr">
        <is>
          <t>Alta</t>
        </is>
      </c>
    </row>
    <row r="7">
      <c r="A7" s="5" t="inlineStr">
        <is>
          <t>H3</t>
        </is>
      </c>
      <c r="B7" s="10" t="inlineStr">
        <is>
          <t>Hipótesis</t>
        </is>
      </c>
      <c r="C7" s="10" t="inlineStr">
        <is>
          <t>Si el puntaje ordena la atención y la ejecutiva recibe el aviso a tiempo, esperamos atender primero a quien más vale, más rápido y con contexto.</t>
        </is>
      </c>
      <c r="D7" s="10" t="inlineStr">
        <is>
          <t>La ejecutiva atiende sin orden ni contexto y el lead que más vale espera igual que el resto.</t>
        </is>
      </c>
      <c r="E7" s="10" t="inlineStr">
        <is>
          <t>Ronda 2 (T7) y piloto.</t>
        </is>
      </c>
      <c r="F7" s="10" t="inlineStr">
        <is>
          <t>K05, K08</t>
        </is>
      </c>
      <c r="G7" s="10" t="inlineStr">
        <is>
          <t>Primera respuesta (K05) ≤ 5 min; MQL a SQL (K08) [A LEVANTAR].</t>
        </is>
      </c>
      <c r="H7" s="6" t="inlineStr">
        <is>
          <t>Alta</t>
        </is>
      </c>
    </row>
    <row r="8">
      <c r="A8" s="5" t="inlineStr">
        <is>
          <t>H4</t>
        </is>
      </c>
      <c r="B8" s="10" t="inlineStr">
        <is>
          <t>Hipótesis</t>
        </is>
      </c>
      <c r="C8" s="10" t="inlineStr">
        <is>
          <t>Si la propuesta recomienda productos y servicios según su rol y el stock, esperamos más categorías por cliente y un ticket más alto sin bajar el margen.</t>
        </is>
      </c>
      <c r="D8" s="10" t="inlineStr">
        <is>
          <t>La propuesta no sube las categorías por cliente ni el ticket.</t>
        </is>
      </c>
      <c r="E8" s="10" t="inlineStr">
        <is>
          <t>Piloto.</t>
        </is>
      </c>
      <c r="F8" s="10" t="inlineStr">
        <is>
          <t>K13, K30, K31</t>
        </is>
      </c>
      <c r="G8" s="10" t="inlineStr">
        <is>
          <t>Ticket promedio (K13), amplitud (K30) y margen por cuenta (K31) [A LEVANTAR con el ERP].</t>
        </is>
      </c>
      <c r="H8" s="6" t="inlineStr">
        <is>
          <t>Alta</t>
        </is>
      </c>
    </row>
    <row r="9">
      <c r="A9" s="5" t="inlineStr">
        <is>
          <t>H5</t>
        </is>
      </c>
      <c r="B9" s="10" t="inlineStr">
        <is>
          <t>Hipótesis</t>
        </is>
      </c>
      <c r="C9" s="10" t="inlineStr">
        <is>
          <t>Si reponer toma un toque, el aviso llega según la frecuencia y un KAM ve el historial, esperamos más clientes que reponen solos y se quedan.</t>
        </is>
      </c>
      <c r="D9" s="10" t="inlineStr">
        <is>
          <t>La reposición sigue siendo manual y la retención no se mueve.</t>
        </is>
      </c>
      <c r="E9" s="10" t="inlineStr">
        <is>
          <t>12 meses de piloto.</t>
        </is>
      </c>
      <c r="F9" s="10" t="inlineStr">
        <is>
          <t>K11, K27</t>
        </is>
      </c>
      <c r="G9" s="10" t="inlineStr">
        <is>
          <t>Reposición digital (K11) de 18 % a 40 %*; retención (K27) de 86 % a 90 %* (vida de 7,1 a 10 años).</t>
        </is>
      </c>
      <c r="H9" s="6" t="inlineStr">
        <is>
          <t>Alta</t>
        </is>
      </c>
    </row>
    <row r="10">
      <c r="A10" s="5" t="inlineStr">
        <is>
          <t>H6</t>
        </is>
      </c>
      <c r="B10" s="10" t="inlineStr">
        <is>
          <t>Hipótesis</t>
        </is>
      </c>
      <c r="C10" s="10" t="inlineStr">
        <is>
          <t>Si los agentes hacen lo repetible y una persona decide, esperamos más tiempo para vender y atender, y menos errores de logística.</t>
        </is>
      </c>
      <c r="D10" s="10" t="inlineStr">
        <is>
          <t>El equipo sigue haciendo a mano lo repetible y los errores de logística se mantienen.</t>
        </is>
      </c>
      <c r="E10" s="10" t="inlineStr">
        <is>
          <t>Piloto.</t>
        </is>
      </c>
      <c r="F10" s="10" t="inlineStr">
        <is>
          <t>K32, K16</t>
        </is>
      </c>
      <c r="G10" s="10" t="inlineStr">
        <is>
          <t>Reposiciones manuales (K32) bajo el 82 %* actual; OTIF (K16) sobre su línea base de 92 %*.</t>
        </is>
      </c>
      <c r="H10" s="6" t="inlineStr">
        <is>
          <t>Alta</t>
        </is>
      </c>
    </row>
    <row r="11">
      <c r="A11" s="5" t="inlineStr">
        <is>
          <t>S1</t>
        </is>
      </c>
      <c r="B11" s="10" t="inlineStr">
        <is>
          <t>Supuesto</t>
        </is>
      </c>
      <c r="C11" s="10" t="inlineStr">
        <is>
          <t>Con la propuesta al instante, parte de los clientes acepta sin hablar con nadie y otros piden una persona: los dos caminos deben existir.</t>
        </is>
      </c>
      <c r="D11" s="10" t="inlineStr">
        <is>
          <t>Si casi nadie acepta solo, la propuesta no reemplaza la conversación; si nadie pide persona, sobra dotación.</t>
        </is>
      </c>
      <c r="E11" s="10" t="inlineStr">
        <is>
          <t>Ronda 2 y piloto: % que acepta directo vs % que pide hablar, y SQL de cada camino.</t>
        </is>
      </c>
      <c r="F11" s="10" t="inlineStr">
        <is>
          <t>K04, K09</t>
        </is>
      </c>
      <c r="G11" s="10" t="inlineStr">
        <is>
          <t>Mantener los dos caminos; destacar el de mejor conversión.</t>
        </is>
      </c>
      <c r="H11" s="6" t="inlineStr">
        <is>
          <t>Alta</t>
        </is>
      </c>
    </row>
    <row r="12">
      <c r="A12" s="5" t="inlineStr">
        <is>
          <t>S2</t>
        </is>
      </c>
      <c r="B12" s="10" t="inlineStr">
        <is>
          <t>Supuesto</t>
        </is>
      </c>
      <c r="C12" s="10" t="inlineStr">
        <is>
          <t>La comuna es un buen indicador del potencial del local.</t>
        </is>
      </c>
      <c r="D12" s="10" t="inlineStr">
        <is>
          <t>Se prioriza mal y se descuidan buenos clientes de zonas C.</t>
        </is>
      </c>
      <c r="E12" s="10" t="inlineStr">
        <is>
          <t>Experimento E3: comparar ticket y conversión por zona durante 90 días.</t>
        </is>
      </c>
      <c r="F12" s="10" t="inlineStr">
        <is>
          <t>K08, K13</t>
        </is>
      </c>
      <c r="G12" s="10" t="inlineStr">
        <is>
          <t>Recalibrar puntos A/B/C según datos.</t>
        </is>
      </c>
      <c r="H12" s="6" t="inlineStr">
        <is>
          <t>Alta</t>
        </is>
      </c>
    </row>
    <row r="13">
      <c r="A13" s="5" t="inlineStr">
        <is>
          <t>S3</t>
        </is>
      </c>
      <c r="B13" s="10" t="inlineStr">
        <is>
          <t>Supuesto</t>
        </is>
      </c>
      <c r="C13" s="10" t="inlineStr">
        <is>
          <t>Una ejecutiva puede responder el chat en pocos minutos en horario hábil.</t>
        </is>
      </c>
      <c r="D13" s="10" t="inlineStr">
        <is>
          <t>Esperas largas dañan la confianza.</t>
        </is>
      </c>
      <c r="E13" s="10" t="inlineStr">
        <is>
          <t>Piloto con registro de tiempos por zona.</t>
        </is>
      </c>
      <c r="F13" s="10" t="inlineStr">
        <is>
          <t>K05</t>
        </is>
      </c>
      <c r="G13" s="10" t="inlineStr">
        <is>
          <t>Si la mediana &gt; 5 min, sumar dotación o cambiar canal por defecto.</t>
        </is>
      </c>
      <c r="H13" s="6" t="inlineStr">
        <is>
          <t>Alta</t>
        </is>
      </c>
    </row>
    <row r="14">
      <c r="A14" s="5" t="inlineStr">
        <is>
          <t>S4</t>
        </is>
      </c>
      <c r="B14" s="10" t="inlineStr">
        <is>
          <t>Supuesto</t>
        </is>
      </c>
      <c r="C14" s="10" t="inlineStr">
        <is>
          <t>Existen rutas de despacho por zona con días fijos (dato de demostración).</t>
        </is>
      </c>
      <c r="D14" s="10" t="inlineStr">
        <is>
          <t>La propuesta promete fechas que no se cumplen.</t>
        </is>
      </c>
      <c r="E14" s="10" t="inlineStr">
        <is>
          <t>Validar con logística antes del piloto.</t>
        </is>
      </c>
      <c r="F14" s="10" t="inlineStr">
        <is>
          <t>K16, K17</t>
        </is>
      </c>
      <c r="G14" s="10" t="inlineStr">
        <is>
          <t>No mostrar días de ruta hasta confirmarlos.</t>
        </is>
      </c>
      <c r="H14" s="6" t="inlineStr">
        <is>
          <t>Alta</t>
        </is>
      </c>
    </row>
    <row r="15">
      <c r="A15" s="5" t="inlineStr">
        <is>
          <t>S5</t>
        </is>
      </c>
      <c r="B15" s="10" t="inlineStr">
        <is>
          <t>Supuesto</t>
        </is>
      </c>
      <c r="C15" s="10" t="inlineStr">
        <is>
          <t>El cliente acepta indicar su comuna en el diagnóstico.</t>
        </is>
      </c>
      <c r="D15" s="10" t="inlineStr">
        <is>
          <t>Aumenta el abandono en el paso 2.</t>
        </is>
      </c>
      <c r="E15" s="10" t="inlineStr">
        <is>
          <t>Ronda 2 y embudo por paso.</t>
        </is>
      </c>
      <c r="F15" s="10" t="inlineStr">
        <is>
          <t>K03</t>
        </is>
      </c>
      <c r="G15" s="10" t="inlineStr">
        <is>
          <t>Si cae la finalización, pedir la comuna junto a los datos.</t>
        </is>
      </c>
      <c r="H15" s="6" t="inlineStr">
        <is>
          <t>Media</t>
        </is>
      </c>
    </row>
    <row r="16">
      <c r="A16" s="5" t="inlineStr">
        <is>
          <t>S7</t>
        </is>
      </c>
      <c r="B16" s="10" t="inlineStr">
        <is>
          <t>Supuesto</t>
        </is>
      </c>
      <c r="C16" s="10" t="inlineStr">
        <is>
          <t>Los lead magnets de servicio (orientación, avance, configuración y ampliación) bastan para que el cliente deje sus datos al principio, sin descuentos.</t>
        </is>
      </c>
      <c r="D16" s="10" t="inlineStr">
        <is>
          <t>Abandono en C03 (datos) antes del diagnóstico.</t>
        </is>
      </c>
      <c r="E16" s="10" t="inlineStr">
        <is>
          <t>Ronda 2 y embudo por LM en el CRM (R01 Marketing).</t>
        </is>
      </c>
      <c r="F16" s="10" t="inlineStr">
        <is>
          <t>K02, K03</t>
        </is>
      </c>
      <c r="G16" s="10" t="inlineStr">
        <is>
          <t>Si la caída más grande se repite en un LM, cambiar su promesa.</t>
        </is>
      </c>
      <c r="H16" s="6" t="inlineStr">
        <is>
          <t>Alta</t>
        </is>
      </c>
    </row>
    <row r="17">
      <c r="A17" s="5" t="inlineStr">
        <is>
          <t>S11</t>
        </is>
      </c>
      <c r="B17" s="10" t="inlineStr">
        <is>
          <t>Supuesto</t>
        </is>
      </c>
      <c r="C17" s="10" t="inlineStr">
        <is>
          <t>Pedir los datos al principio, con el avance guardado y la propuesta por correo como promesa (LM2), no ahuyenta al cliente y permite recuperar a quien abandona.</t>
        </is>
      </c>
      <c r="D17" s="10" t="inlineStr">
        <is>
          <t>Muchos abandonan en el formulario.</t>
        </is>
      </c>
      <c r="E17" s="10" t="inlineStr">
        <is>
          <t>Ronda 2 y piloto: % que deja datos en C03, % que termina el diagnóstico y % de abandonos recuperados con W4.</t>
        </is>
      </c>
      <c r="F17" s="10" t="inlineStr">
        <is>
          <t>K02, K03</t>
        </is>
      </c>
      <c r="G17" s="10" t="inlineStr">
        <is>
          <t>Si el abandono en C03 es alto, pedir solo correo o WhatsApp al principio y el resto al aceptar.</t>
        </is>
      </c>
      <c r="H17" s="6" t="inlineStr">
        <is>
          <t>Alta</t>
        </is>
      </c>
    </row>
    <row r="18">
      <c r="A18" s="5" t="inlineStr">
        <is>
          <t>S6</t>
        </is>
      </c>
      <c r="B18" s="10" t="inlineStr">
        <is>
          <t>Supuesto</t>
        </is>
      </c>
      <c r="C18" s="10" t="inlineStr">
        <is>
          <t>Los pesos del Financial Score v0.1 representan el valor del cliente.</t>
        </is>
      </c>
      <c r="D18" s="10" t="inlineStr">
        <is>
          <t>Decisiones de recompra y referidos mal enfocadas.</t>
        </is>
      </c>
      <c r="E18" s="10" t="inlineStr">
        <is>
          <t>Comparar con margen neto real por cliente (finanzas).</t>
        </is>
      </c>
      <c r="F18" s="10" t="inlineStr">
        <is>
          <t>K13, K20</t>
        </is>
      </c>
      <c r="G18" s="10" t="inlineStr">
        <is>
          <t>Ajustar pesos o pasar a contribución neta.</t>
        </is>
      </c>
      <c r="H18" s="6" t="inlineStr">
        <is>
          <t>Media</t>
        </is>
      </c>
    </row>
    <row r="19">
      <c r="A19" s="5" t="inlineStr">
        <is>
          <t>T1</t>
        </is>
      </c>
      <c r="B19" s="10" t="inlineStr">
        <is>
          <t>Trade-off</t>
        </is>
      </c>
      <c r="C19" s="10" t="inlineStr">
        <is>
          <t>Contacto humano inmediato vs autoservicio completo.</t>
        </is>
      </c>
      <c r="D19" s="10" t="inlineStr">
        <is>
          <t>Más carga para el equipo comercial.</t>
        </is>
      </c>
      <c r="E19" s="10" t="inlineStr">
        <is>
          <t>Se mantiene la opción «solo ver mi recomendación».</t>
        </is>
      </c>
      <c r="F19" s="10" t="inlineStr">
        <is>
          <t>K04, K05</t>
        </is>
      </c>
      <c r="G19" s="10" t="inlineStr">
        <is>
          <t>—</t>
        </is>
      </c>
      <c r="H19" s="6" t="inlineStr">
        <is>
          <t>—</t>
        </is>
      </c>
    </row>
    <row r="20">
      <c r="A20" s="5" t="inlineStr">
        <is>
          <t>T2</t>
        </is>
      </c>
      <c r="B20" s="10" t="inlineStr">
        <is>
          <t>Trade-off</t>
        </is>
      </c>
      <c r="C20" s="10" t="inlineStr">
        <is>
          <t>3 pasos con lo típico ya marcado (rápido) vs más preguntas (propuesta más precisa).</t>
        </is>
      </c>
      <c r="D20" s="10" t="inlineStr">
        <is>
          <t>La sugerencia por negocio no calza y la persona no la corrige.</t>
        </is>
      </c>
      <c r="E20" s="10" t="inlineStr">
        <is>
          <t>Rótulo «Sugerido para tu negocio»; la ejecutiva confirma en la conversación.</t>
        </is>
      </c>
      <c r="F20" s="10" t="inlineStr">
        <is>
          <t>K03</t>
        </is>
      </c>
      <c r="G20" s="10" t="inlineStr">
        <is>
          <t>—</t>
        </is>
      </c>
      <c r="H20" s="6" t="inlineStr">
        <is>
          <t>—</t>
        </is>
      </c>
    </row>
    <row r="21">
      <c r="A21" s="5" t="inlineStr">
        <is>
          <t>T3</t>
        </is>
      </c>
      <c r="B21" s="10" t="inlineStr">
        <is>
          <t>Trade-off</t>
        </is>
      </c>
      <c r="C21" s="10" t="inlineStr">
        <is>
          <t>Rangos de precio supuestos en el portal vs precio exacto.</t>
        </is>
      </c>
      <c r="D21" s="10" t="inlineStr">
        <is>
          <t>Un rango mal calibrado genera expectativas falsas.</t>
        </is>
      </c>
      <c r="E21" s="10" t="inlineStr">
        <is>
          <t>Rótulo «supuesto» y precio real en la cotización formal de la ejecutiva; se mide en T5.</t>
        </is>
      </c>
      <c r="F21" s="10" t="inlineStr">
        <is>
          <t>K09</t>
        </is>
      </c>
      <c r="G21" s="10" t="inlineStr">
        <is>
          <t>—</t>
        </is>
      </c>
      <c r="H21" s="6" t="inlineStr">
        <is>
          <t>—</t>
        </is>
      </c>
    </row>
    <row r="22">
      <c r="A22" s="5" t="inlineStr">
        <is>
          <t>S8</t>
        </is>
      </c>
      <c r="B22" s="10" t="inlineStr">
        <is>
          <t>Supuesto</t>
        </is>
      </c>
      <c r="C22" s="10" t="inlineStr">
        <is>
          <t>Los rangos de máquinas, café por kilo, pods y servicios (hoja 19) son razonables para el mercado chileno.</t>
        </is>
      </c>
      <c r="D22" s="10" t="inlineStr">
        <is>
          <t>El cliente descarta la solución por precio o la ejecutiva no puede sostenerlo.</t>
        </is>
      </c>
      <c r="E22" s="10" t="inlineStr">
        <is>
          <t>Validar con Marley Coffee y 3 cotizaciones de competidores antes del piloto.</t>
        </is>
      </c>
      <c r="F22" s="10" t="inlineStr">
        <is>
          <t>K09</t>
        </is>
      </c>
      <c r="G22" s="10" t="inlineStr">
        <is>
          <t>Reemplazar cada supuesto por el precio real o quitarlo.</t>
        </is>
      </c>
      <c r="H22" s="6" t="inlineStr">
        <is>
          <t>Alta</t>
        </is>
      </c>
    </row>
    <row r="23">
      <c r="A23" s="5" t="inlineStr">
        <is>
          <t>S9</t>
        </is>
      </c>
      <c r="B23" s="10" t="inlineStr">
        <is>
          <t>Supuesto</t>
        </is>
      </c>
      <c r="C23" s="10" t="inlineStr">
        <is>
          <t>Las recreaciones con IA (escenas y fondos) representan bien la marca sin confundirse con clientes reales.</t>
        </is>
      </c>
      <c r="D23" s="10" t="inlineStr">
        <is>
          <t>Se lee como caso real o la marca se ve mal.</t>
        </is>
      </c>
      <c r="E23" s="10" t="inlineStr">
        <is>
          <t>Rótulo «recreación ilustrativa» y revisión de marca cuadro a cuadro.</t>
        </is>
      </c>
      <c r="F23" s="10" t="inlineStr">
        <is>
          <t>—</t>
        </is>
      </c>
      <c r="G23" s="10" t="inlineStr">
        <is>
          <t>Usar fotos reales de clientes cuando existan.</t>
        </is>
      </c>
      <c r="H23" s="6" t="inlineStr">
        <is>
          <t>Media</t>
        </is>
      </c>
    </row>
    <row r="24">
      <c r="A24" s="5" t="inlineStr">
        <is>
          <t>S10</t>
        </is>
      </c>
      <c r="B24" s="10" t="inlineStr">
        <is>
          <t>Supuesto</t>
        </is>
      </c>
      <c r="C24" s="10" t="inlineStr">
        <is>
          <t>Cargar las fuentes desde el servidor oficial de Marley Coffee es aceptable (CORS abierto).</t>
        </is>
      </c>
      <c r="D24" s="10" t="inlineStr">
        <is>
          <t>Si cambia el servidor, cae a la fuente de respaldo.</t>
        </is>
      </c>
      <c r="E24" s="10" t="inlineStr">
        <is>
          <t>Confirmar con Marley Coffee el uso y alojar en el sitio final.</t>
        </is>
      </c>
      <c r="F24" s="10" t="inlineStr">
        <is>
          <t>—</t>
        </is>
      </c>
      <c r="G24" s="10" t="inlineStr">
        <is>
          <t>Alojar las fuentes con licencia en producción.</t>
        </is>
      </c>
      <c r="H24" s="6" t="inlineStr">
        <is>
          <t>Baja</t>
        </is>
      </c>
    </row>
    <row r="25">
      <c r="A25" s="5" t="inlineStr">
        <is>
          <t>T4</t>
        </is>
      </c>
      <c r="B25" s="10" t="inlineStr">
        <is>
          <t>Trade-off</t>
        </is>
      </c>
      <c r="C25" s="10" t="inlineStr">
        <is>
          <t>Prioridad geográfica en el puntaje.</t>
        </is>
      </c>
      <c r="D25" s="10" t="inlineStr">
        <is>
          <t>Sesgo contra zonas C y regiones.</t>
        </is>
      </c>
      <c r="E25" s="10" t="inlineStr">
        <is>
          <t>Revisión mensual del panel por zona.</t>
        </is>
      </c>
      <c r="F25" s="10" t="inlineStr">
        <is>
          <t>K07, K08</t>
        </is>
      </c>
      <c r="G25" s="10" t="inlineStr">
        <is>
          <t>—</t>
        </is>
      </c>
      <c r="H25" s="6" t="inlineStr">
        <is>
          <t>—</t>
        </is>
      </c>
    </row>
    <row r="26">
      <c r="A26" s="5" t="inlineStr">
        <is>
          <t>E1</t>
        </is>
      </c>
      <c r="B26" s="10" t="inlineStr">
        <is>
          <t>Experimento</t>
        </is>
      </c>
      <c r="C26" s="10" t="inlineStr">
        <is>
          <t>Test de usabilidad: ronda 1 con 5 participantes (15-10-2026, hecha); ronda 2 con 2 o 3 personas después de los cambios v6.</t>
        </is>
      </c>
      <c r="D26" s="10" t="inlineStr">
        <is>
          <t>—</t>
        </is>
      </c>
      <c r="E26" s="10" t="inlineStr">
        <is>
          <t>07_TEST_PLAN, 08_TEST_REGISTRO y 22_CAMBIOS_TEST.</t>
        </is>
      </c>
      <c r="F26" s="10" t="inlineStr">
        <is>
          <t>K22–K24</t>
        </is>
      </c>
      <c r="G26" s="10" t="inlineStr">
        <is>
          <t>Cumplir las metas de la hoja 22; sin severidad 4 abierta.</t>
        </is>
      </c>
      <c r="H26" s="6" t="inlineStr">
        <is>
          <t>1</t>
        </is>
      </c>
    </row>
    <row r="27">
      <c r="A27" s="5" t="inlineStr">
        <is>
          <t>E2</t>
        </is>
      </c>
      <c r="B27" s="10" t="inlineStr">
        <is>
          <t>Experimento</t>
        </is>
      </c>
      <c r="C27" s="10" t="inlineStr">
        <is>
          <t>A/B de canal destacado (chat vs llamada) en el piloto.</t>
        </is>
      </c>
      <c r="D27" s="10" t="inlineStr">
        <is>
          <t>—</t>
        </is>
      </c>
      <c r="E27" s="10" t="inlineStr">
        <is>
          <t>Asignación alternada por semana.</t>
        </is>
      </c>
      <c r="F27" s="10" t="inlineStr">
        <is>
          <t>K04, K08</t>
        </is>
      </c>
      <c r="G27" s="10" t="inlineStr">
        <is>
          <t>Quedarse con el de mayor SQL sin subir tiempos.</t>
        </is>
      </c>
      <c r="H27" s="6" t="inlineStr">
        <is>
          <t>2</t>
        </is>
      </c>
    </row>
    <row r="28">
      <c r="A28" s="5" t="inlineStr">
        <is>
          <t>E3</t>
        </is>
      </c>
      <c r="B28" s="10" t="inlineStr">
        <is>
          <t>Experimento</t>
        </is>
      </c>
      <c r="C28" s="10" t="inlineStr">
        <is>
          <t>Calibración de prioridad por comuna con ventas reales.</t>
        </is>
      </c>
      <c r="D28" s="10" t="inlineStr">
        <is>
          <t>—</t>
        </is>
      </c>
      <c r="E28" s="10" t="inlineStr">
        <is>
          <t>90 días de piloto, por comuna.</t>
        </is>
      </c>
      <c r="F28" s="10" t="inlineStr">
        <is>
          <t>K08, K13</t>
        </is>
      </c>
      <c r="G28" s="10" t="inlineStr">
        <is>
          <t>Ajustar A/B/C y potencial.</t>
        </is>
      </c>
      <c r="H28" s="6" t="inlineStr">
        <is>
          <t>2</t>
        </is>
      </c>
    </row>
    <row r="29">
      <c r="A29" s="5" t="inlineStr">
        <is>
          <t>E4</t>
        </is>
      </c>
      <c r="B29" s="10" t="inlineStr">
        <is>
          <t>Experimento</t>
        </is>
      </c>
      <c r="C29" s="10" t="inlineStr">
        <is>
          <t>Correo «Retoma tu solución» con video vs sin video (W4).</t>
        </is>
      </c>
      <c r="D29" s="10" t="inlineStr">
        <is>
          <t>—</t>
        </is>
      </c>
      <c r="E29" s="10" t="inlineStr">
        <is>
          <t>Grupos alternados.</t>
        </is>
      </c>
      <c r="F29" s="10" t="inlineStr">
        <is>
          <t>K03, K04</t>
        </is>
      </c>
      <c r="G29" s="10" t="inlineStr">
        <is>
          <t>Mantener la versión con más retomas.</t>
        </is>
      </c>
      <c r="H29" s="6" t="inlineStr">
        <is>
          <t>3</t>
        </is>
      </c>
    </row>
    <row r="30">
      <c r="A30" s="5" t="inlineStr">
        <is>
          <t>E5</t>
        </is>
      </c>
      <c r="B30" s="10" t="inlineStr">
        <is>
          <t>Experimento</t>
        </is>
      </c>
      <c r="C30" s="10" t="inlineStr">
        <is>
          <t>Botón Empresas: nombre, ubicación, color y tamaño en la tienda, en escritorio y en celular (punto de partida del recorrido).</t>
        </is>
      </c>
      <c r="D30" s="10" t="inlineStr">
        <is>
          <t>—</t>
        </is>
      </c>
      <c r="E30" s="10" t="inlineStr">
        <is>
          <t>Variantes alternadas por semana con el mismo tráfico; el clic se mide por evento (K01).</t>
        </is>
      </c>
      <c r="F30" s="10" t="inlineStr">
        <is>
          <t>K01</t>
        </is>
      </c>
      <c r="G30" s="10" t="inlineStr">
        <is>
          <t>Quedarse con la combinación de más clics únicos a Empresas sin subir el abandono del inicio.</t>
        </is>
      </c>
      <c r="H30" s="6" t="inlineStr">
        <is>
          <t>1</t>
        </is>
      </c>
    </row>
    <row r="31">
      <c r="A31" s="5" t="inlineStr">
        <is>
          <t>E6</t>
        </is>
      </c>
      <c r="B31" s="10" t="inlineStr">
        <is>
          <t>Experimento</t>
        </is>
      </c>
      <c r="C31" s="10" t="inlineStr">
        <is>
          <t>Landing SEM idéntica sin menú contra la versión con menú, con el mismo texto, la misma oferta y el mismo origen marcado con UTM.</t>
        </is>
      </c>
      <c r="D31" s="10" t="inlineStr">
        <is>
          <t>—</t>
        </is>
      </c>
      <c r="E31" s="10" t="inlineStr">
        <is>
          <t>Grupos alternados con el mismo presupuesto y la misma palabra clave.</t>
        </is>
      </c>
      <c r="F31" s="10" t="inlineStr">
        <is>
          <t>K01, K02</t>
        </is>
      </c>
      <c r="G31" s="10" t="inlineStr">
        <is>
          <t>Mantener la versión con más identificación (K02), no la de más clics.</t>
        </is>
      </c>
      <c r="H31" s="6" t="inlineStr">
        <is>
          <t>2</t>
        </is>
      </c>
    </row>
    <row r="32">
      <c r="A32" s="7" t="inlineStr">
        <is>
          <t>E7</t>
        </is>
      </c>
      <c r="B32" s="14" t="inlineStr">
        <is>
          <t>Experimento</t>
        </is>
      </c>
      <c r="C32" s="14" t="inlineStr">
        <is>
          <t>Orden de los lead magnets: el de servicio antes de los datos contra el de continuidad (LM2) antes de los datos.</t>
        </is>
      </c>
      <c r="D32" s="14" t="inlineStr">
        <is>
          <t>—</t>
        </is>
      </c>
      <c r="E32" s="14" t="inlineStr">
        <is>
          <t>Grupos alternados en la ronda 2 y en el piloto; el embudo por paso queda registrado en el CRM.</t>
        </is>
      </c>
      <c r="F32" s="14" t="inlineStr">
        <is>
          <t>K02, K03</t>
        </is>
      </c>
      <c r="G32" s="14" t="inlineStr">
        <is>
          <t>Mantener el orden con más finalización del diagnóstico, siempre sin descuentos.</t>
        </is>
      </c>
      <c r="H32" s="8" t="inlineStr">
        <is>
          <t>2</t>
        </is>
      </c>
    </row>
  </sheetData>
  <mergeCells count="1">
    <mergeCell ref="A2:H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B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8" customHeight="1">
      <c r="A1" s="1" t="inlineStr">
        <is>
          <t>Glosario mínimo de métricas y definiciones</t>
        </is>
      </c>
      <c r="B1" s="2" t="n"/>
    </row>
    <row r="2" ht="16" customHeight="1">
      <c r="A2" s="3" t="inlineStr">
        <is>
          <t>Mismos criterios en informe, prototipo y anexos.</t>
        </is>
      </c>
    </row>
    <row r="3"/>
    <row r="4" ht="30" customHeight="1">
      <c r="A4" s="4" t="inlineStr">
        <is>
          <t>Término</t>
        </is>
      </c>
      <c r="B4" s="4" t="inlineStr">
        <is>
          <t>Definición</t>
        </is>
      </c>
    </row>
    <row r="5">
      <c r="A5" s="5" t="inlineStr">
        <is>
          <t>Lead</t>
        </is>
      </c>
      <c r="B5" s="6" t="inlineStr">
        <is>
          <t>Contacto que dejó sus datos y todavía no está calificado; en este MVP son los tres primeros campos del recorrido.</t>
        </is>
      </c>
    </row>
    <row r="6">
      <c r="A6" s="5" t="inlineStr">
        <is>
          <t>Embudo de ventas</t>
        </is>
      </c>
      <c r="B6" s="6" t="inlineStr">
        <is>
          <t>El recorrido del cliente por etapas —lead, MQL, SQL, propuesta y cliente—; ordena la venta y dice en qué etapa está cada contacto.</t>
        </is>
      </c>
    </row>
    <row r="7">
      <c r="A7" s="5" t="inlineStr">
        <is>
          <t>AARRR</t>
        </is>
      </c>
      <c r="B7" s="6" t="inlineStr">
        <is>
          <t>Marco para medir cada vuelta del flywheel: adquisición, activación, retención, referidos e ingresos. No ordena la venta: dice qué medir y qué probar.</t>
        </is>
      </c>
    </row>
    <row r="8">
      <c r="A8" s="5" t="inlineStr">
        <is>
          <t>Flywheel</t>
        </is>
      </c>
      <c r="B8" s="6" t="inlineStr">
        <is>
          <t>Modelo de inbound en que atraer, interactuar y deleitar giran alrededor del cliente, y el promotor vuelve a atraer con sus referidos; el embudo vive adentro.</t>
        </is>
      </c>
    </row>
    <row r="9">
      <c r="A9" s="5" t="inlineStr">
        <is>
          <t>SEO / SEM</t>
        </is>
      </c>
      <c r="B9" s="6" t="inlineStr">
        <is>
          <t>Búsqueda: SEO es aparecer sin pagar (Search Engine Optimization) y SEM es el anuncio pagado (Search Engine Marketing). Aquí la búsqueda se elige por intención de compra.</t>
        </is>
      </c>
    </row>
    <row r="10">
      <c r="A10" s="5" t="inlineStr">
        <is>
          <t>UTM</t>
        </is>
      </c>
      <c r="B10" s="6" t="inlineStr">
        <is>
          <t>Etiqueta que se agrega al enlace para saber de qué canal, campaña o anuncio llegó cada visita (Urchin Tracking Module); es lo que permite atribuir cada peso en medios.</t>
        </is>
      </c>
    </row>
    <row r="11">
      <c r="A11" s="5" t="inlineStr">
        <is>
          <t>KPI</t>
        </is>
      </c>
      <c r="B11" s="6" t="inlineStr">
        <is>
          <t>Indicador clave de desempeño: la cifra con la que se juzga si una acción funcionó. Cada KPI del informe lleva fuente, frecuencia y responsable (Anexo E, hoja 04).</t>
        </is>
      </c>
    </row>
    <row r="12">
      <c r="A12" s="5" t="inlineStr">
        <is>
          <t>E-commerce</t>
        </is>
      </c>
      <c r="B12" s="6" t="inlineStr">
        <is>
          <t>Comercio electrónico: la compra y el pago en línea. Aquí, la parte asistida para empresas, que convive con los canales humanos.</t>
        </is>
      </c>
    </row>
    <row r="13">
      <c r="A13" s="5" t="inlineStr">
        <is>
          <t>Blueprint</t>
        </is>
      </c>
      <c r="B13" s="6" t="inlineStr">
        <is>
          <t>Plano del inbound: la lámina que muestra el flywheel con su táctica, su pieza, su lead magnet, su workflow y su KPI por etapa (Anexo F).</t>
        </is>
      </c>
    </row>
    <row r="14">
      <c r="A14" s="5" t="inlineStr">
        <is>
          <t>Mockups</t>
        </is>
      </c>
      <c r="B14" s="6" t="inlineStr">
        <is>
          <t>Pantallas del prototipo con la marca, las fotos oficiales y las escenas, tal como se ven en el sitio (Anexo C).</t>
        </is>
      </c>
    </row>
    <row r="15">
      <c r="A15" s="5" t="inlineStr">
        <is>
          <t>Prompt</t>
        </is>
      </c>
      <c r="B15" s="6" t="inlineStr">
        <is>
          <t>Instrucción escrita que el equipo le da a una herramienta de inteligencia artificial; los prompts principales se declaran en el Anexo I del informe.</t>
        </is>
      </c>
    </row>
    <row r="16">
      <c r="A16" s="5" t="inlineStr">
        <is>
          <t>Pods</t>
        </is>
      </c>
      <c r="B16" s="6" t="inlineStr">
        <is>
          <t>Línea de cápsulas de Marley Coffee: espresso en dosis individuales, dos tazas a la vez. Es el nombre con que la marca ofrece ese formato.</t>
        </is>
      </c>
    </row>
    <row r="17">
      <c r="A17" s="5" t="inlineStr">
        <is>
          <t>MQL</t>
        </is>
      </c>
      <c r="B17" s="6" t="inlineStr">
        <is>
          <t>Contacto calificado por marketing: dejó correo con permiso, declaró un negocio HORECA y tiene 40 puntos o más de puntaje de interés y ajuste.</t>
        </is>
      </c>
    </row>
    <row r="18">
      <c r="A18" s="5" t="inlineStr">
        <is>
          <t>SQL</t>
        </is>
      </c>
      <c r="B18" s="6" t="inlineStr">
        <is>
          <t>MQL con señal comercial (pidió persona o propuesta) que una persona del equipo acepta como oportunidad.</t>
        </is>
      </c>
    </row>
    <row r="19">
      <c r="A19" s="5" t="inlineStr">
        <is>
          <t>Puntaje de interés y ajuste (Engagement Score v1.1)</t>
        </is>
      </c>
      <c r="B19" s="6" t="inlineStr">
        <is>
          <t>El «puntaje» del informe: suma de 13 eventos M2 más el evento 14 (comuna), cada uno una vez, con tope 100. Mide la intención de un prospecto.</t>
        </is>
      </c>
    </row>
    <row r="20">
      <c r="A20" s="5" t="inlineStr">
        <is>
          <t>Puntaje financiero de la cuenta (Financial Score v0.1)</t>
        </is>
      </c>
      <c r="B20" s="6" t="inlineStr">
        <is>
          <t>0,30 ticket + 0,25 frecuencia + 0,20 margen + 0,10 amplitud + 0,15 zona (0–100). Solo para clientes con compras.</t>
        </is>
      </c>
    </row>
    <row r="21">
      <c r="A21" s="5" t="inlineStr">
        <is>
          <t>Banda</t>
        </is>
      </c>
      <c r="B21" s="6" t="inlineStr">
        <is>
          <t>Tramo del puntaje de interés y ajuste: 0–19 Exploración, 20–39 Identificado, 40–59 Calificado, 60–79 Alta intención, 80–100 Prioridad máxima.</t>
        </is>
      </c>
    </row>
    <row r="22">
      <c r="A22" s="5" t="inlineStr">
        <is>
          <t>Prioridad de zona</t>
        </is>
      </c>
      <c r="B22" s="6" t="inlineStr">
        <is>
          <t>A, B, C o regiones según la comuna del local; hipótesis por ticket esperado, densidad HORECA y cobertura de ruta.</t>
        </is>
      </c>
    </row>
    <row r="23">
      <c r="A23" s="5" t="inlineStr">
        <is>
          <t>Ticket promedio</t>
        </is>
      </c>
      <c r="B23" s="6" t="inlineStr">
        <is>
          <t>Ventas del período / número de pedidos del período.</t>
        </is>
      </c>
    </row>
    <row r="24">
      <c r="A24" s="5" t="inlineStr">
        <is>
          <t>Frecuencia de compra</t>
        </is>
      </c>
      <c r="B24" s="6" t="inlineStr">
        <is>
          <t>Promedio de días entre pedidos consecutivos de un cliente.</t>
        </is>
      </c>
    </row>
    <row r="25">
      <c r="A25" s="5" t="inlineStr">
        <is>
          <t>Cliente nuevo / ocasional / frecuente</t>
        </is>
      </c>
      <c r="B25" s="6" t="inlineStr">
        <is>
          <t>Nuevo: primera compra en 90 días. Ocasional: 1 o 2 compras en 90 días. Frecuente: más de 2. Inactivo: sin compras en 90 días.</t>
        </is>
      </c>
    </row>
    <row r="26">
      <c r="A26" s="5" t="inlineStr">
        <is>
          <t>Reposición digital</t>
        </is>
      </c>
      <c r="B26" s="6" t="inlineStr">
        <is>
          <t>Reposiciones hechas por canal digital / reposiciones totales del período.</t>
        </is>
      </c>
    </row>
    <row r="27">
      <c r="A27" s="5" t="inlineStr">
        <is>
          <t>OTIF</t>
        </is>
      </c>
      <c r="B27" s="6" t="inlineStr">
        <is>
          <t>Pedidos entregados completos y en la fecha comprometida / pedidos con fecha comprometida.</t>
        </is>
      </c>
    </row>
    <row r="28">
      <c r="A28" s="5" t="inlineStr">
        <is>
          <t>Lead time de despacho</t>
        </is>
      </c>
      <c r="B28" s="6" t="inlineStr">
        <is>
          <t>Tiempo entre la confirmación del pedido y la entrega.</t>
        </is>
      </c>
    </row>
    <row r="29">
      <c r="A29" s="5" t="inlineStr">
        <is>
          <t>Fill rate</t>
        </is>
      </c>
      <c r="B29" s="6" t="inlineStr">
        <is>
          <t>Unidades entregadas / unidades pedidas.</t>
        </is>
      </c>
    </row>
    <row r="30">
      <c r="A30" s="5" t="inlineStr">
        <is>
          <t>Quiebre de stock</t>
        </is>
      </c>
      <c r="B30" s="6" t="inlineStr">
        <is>
          <t>SKU sin stock / SKU activos.</t>
        </is>
      </c>
    </row>
    <row r="31">
      <c r="A31" s="5" t="inlineStr">
        <is>
          <t>Éxito de tarea</t>
        </is>
      </c>
      <c r="B31" s="6" t="inlineStr">
        <is>
          <t>Tareas completadas sin ayuda / tareas intentadas en el test.</t>
        </is>
      </c>
    </row>
    <row r="32">
      <c r="A32" s="5" t="inlineStr">
        <is>
          <t>SEQ</t>
        </is>
      </c>
      <c r="B32" s="6" t="inlineStr">
        <is>
          <t>Pregunta única de facilidad que se hace justo después de cada tarea (Sauro 2010 [25]); aquí en escala 1 a 7.</t>
        </is>
      </c>
    </row>
    <row r="33">
      <c r="A33" s="5" t="inlineStr">
        <is>
          <t>SUS</t>
        </is>
      </c>
      <c r="B33" s="6" t="inlineStr">
        <is>
          <t>Cuestionario de 10 ítems; puntaje 0–100; promedio de referencia 68 (Sauro 2011 [24]).</t>
        </is>
      </c>
    </row>
    <row r="34">
      <c r="A34" s="5" t="inlineStr">
        <is>
          <t>Severidad</t>
        </is>
      </c>
      <c r="B34" s="6" t="inlineStr">
        <is>
          <t>0 a 4 según Nielsen (1994) [22]: frecuencia, impacto y persistencia del problema.</t>
        </is>
      </c>
    </row>
    <row r="35">
      <c r="A35" s="5" t="inlineStr">
        <is>
          <t>Lead magnet (LM)</t>
        </is>
      </c>
      <c r="B35" s="6" t="inlineStr">
        <is>
          <t>Algo de valor que el cliente recibe a cambio de un esfuerzo (clic, datos, diagnóstico), visible antes de pedirlo. En este MVP tiene tres tipos: servicio, continuidad y presencia de marca; nunca precio ni descuento.</t>
        </is>
      </c>
    </row>
    <row r="36">
      <c r="A36" s="5" t="inlineStr">
        <is>
          <t>Omnicanalidad</t>
        </is>
      </c>
      <c r="B36" s="6" t="inlineStr">
        <is>
          <t>El cliente elige chat, llamada o correo, pero los tres llegan a la misma conversación de su ejecutiva.</t>
        </is>
      </c>
    </row>
    <row r="37">
      <c r="A37" s="5" t="inlineStr">
        <is>
          <t>Workflow / gatillador</t>
        </is>
      </c>
      <c r="B37" s="6" t="inlineStr">
        <is>
          <t>Secuencia automática que se activa por un evento del cliente (gatillador) y una condición; tiene espera, canal, contenido y salida.</t>
        </is>
      </c>
    </row>
    <row r="38">
      <c r="A38" s="5" t="inlineStr">
        <is>
          <t>Agente IA</t>
        </is>
      </c>
      <c r="B38" s="6" t="inlineStr">
        <is>
          <t>Componente que interpreta señales y propone o hace tareas de bajo riesgo; lo comercial e irreversible lo aprueba una persona.</t>
        </is>
      </c>
    </row>
    <row r="39">
      <c r="A39" s="5" t="inlineStr">
        <is>
          <t>Capa agéntica</t>
        </is>
      </c>
      <c r="B39" s="6" t="inlineStr">
        <is>
          <t>Nivel donde los agentes de IA cruzan el CRM con la logística, el ERP y los pagos, y proponen o hacen tareas de bajo riesgo; lo irreversible lo aprueba una persona.</t>
        </is>
      </c>
    </row>
    <row r="40">
      <c r="A40" s="5" t="inlineStr">
        <is>
          <t>Capa predictiva</t>
        </is>
      </c>
      <c r="B40" s="6" t="inlineStr">
        <is>
          <t>Nivel que usa los datos acumulados para anticipar qué reponer, a quién atender y qué ofrecer antes de que el cliente lo pida.</t>
        </is>
      </c>
    </row>
    <row r="41">
      <c r="A41" s="5" t="inlineStr">
        <is>
          <t>Datos por capas</t>
        </is>
      </c>
      <c r="B41" s="6" t="inlineStr">
        <is>
          <t>Pedir los datos en cuatro tandas a lo largo del recorrido en vez de un formulario largo: identificación, calificación, operación y cuenta.</t>
        </is>
      </c>
    </row>
    <row r="42">
      <c r="A42" s="5" t="inlineStr">
        <is>
          <t>KAM</t>
        </is>
      </c>
      <c r="B42" s="6" t="inlineStr">
        <is>
          <t>Key Account Manager: la persona que ve el historial de una cuenta y responde por su recompra y su relación; en el CRM tiene su propia vista.</t>
        </is>
      </c>
    </row>
    <row r="43">
      <c r="A43" s="5" t="inlineStr">
        <is>
          <t>Propuesta al instante</t>
        </is>
      </c>
      <c r="B43" s="6" t="inlineStr">
        <is>
          <t>Propuesta que arma el agente de ventas apenas el cliente termina el diagnóstico de 3 pasos: máquina, modalidad, café al mes y precio mensual estimado. La ejecutiva la confirma con el precio real.</t>
        </is>
      </c>
    </row>
    <row r="44">
      <c r="A44" s="5" t="inlineStr">
        <is>
          <t>Arriendo / compra directa</t>
        </is>
      </c>
      <c r="B44" s="6" t="inlineStr">
        <is>
          <t>Arriendo: cuota mensual por la máquina, aparte del café. Compra directa: pago único por el equipo, aparte del café y los servicios. Montos académicos a validar; la ejecutiva confirma precio y condiciones.</t>
        </is>
      </c>
    </row>
    <row r="45">
      <c r="A45" s="5" t="inlineStr">
        <is>
          <t>Venta cruzada</t>
        </is>
      </c>
      <c r="B45" s="6" t="inlineStr">
        <is>
          <t>Ofrecer un producto o servicio complementario dentro de la misma propuesta (en inglés, cross-selling). Solo se recomienda lo que existe en catálogo y hay en stock, y nunca cambia el precio del café.</t>
        </is>
      </c>
    </row>
    <row r="46">
      <c r="A46" s="5" t="inlineStr">
        <is>
          <t>Sobestock</t>
        </is>
      </c>
      <c r="B46" s="6" t="inlineStr">
        <is>
          <t>Exceso de stock sobre lo que la rotación del cliente justifica. En este MVP es una hipótesis del piloto, no una función: se mide cuando el stock esté conectado.</t>
        </is>
      </c>
    </row>
    <row r="47">
      <c r="A47" s="5" t="inlineStr">
        <is>
          <t>Sugerido para tu negocio</t>
        </is>
      </c>
      <c r="B47" s="6" t="inlineStr">
        <is>
          <t>Valor marcado de antemano con lo típico de cada tipo de negocio (supuesto del prototipo); el cliente lo cambia si no calza.</t>
        </is>
      </c>
    </row>
    <row r="48">
      <c r="A48" s="5" t="inlineStr">
        <is>
          <t>Tiempos por etapa</t>
        </is>
      </c>
      <c r="B48" s="6" t="inlineStr">
        <is>
          <t>Segundos de cada pantalla sumados por etapa del recorrido (buscar Empresas, ver productos, dejar datos, contar su negocio, ver la propuesta y confirmación), medidos por el test integrado.</t>
        </is>
      </c>
    </row>
    <row r="49">
      <c r="A49" s="5" t="inlineStr">
        <is>
          <t>Momento de deleite</t>
        </is>
      </c>
      <c r="B49" s="6" t="inlineStr">
        <is>
          <t>El resultado que el cliente siente cuando la fricción desaparece, con su indicador al lado; cada fila de la Tabla 2 convierte una fricción medida en un momento de deleite.</t>
        </is>
      </c>
    </row>
    <row r="50">
      <c r="A50" s="7" t="inlineStr">
        <is>
          <t>Toque sin respuesta</t>
        </is>
      </c>
      <c r="B50" s="8" t="inlineStr">
        <is>
          <t>Toque o clic en algo que no hace nada: señal de que la persona esperaba otra cosa.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D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52" customWidth="1" min="3" max="3"/>
    <col width="70" customWidth="1" min="4" max="4"/>
  </cols>
  <sheetData>
    <row r="1" ht="28" customHeight="1">
      <c r="A1" s="1" t="inlineStr">
        <is>
          <t>Versiones y nombres de archivos</t>
        </is>
      </c>
      <c r="B1" s="2" t="n"/>
      <c r="C1" s="2" t="n"/>
      <c r="D1" s="2" t="n"/>
    </row>
    <row r="2" ht="16" customHeight="1">
      <c r="A2" s="3" t="inlineStr">
        <is>
          <t>Los nombres coinciden con los archivos entregados.</t>
        </is>
      </c>
    </row>
    <row r="3"/>
    <row r="4" ht="30" customHeight="1">
      <c r="A4" s="4" t="inlineStr">
        <is>
          <t>Versión</t>
        </is>
      </c>
      <c r="B4" s="4" t="inlineStr">
        <is>
          <t>Fecha</t>
        </is>
      </c>
      <c r="C4" s="4" t="inlineStr">
        <is>
          <t>Archivo</t>
        </is>
      </c>
      <c r="D4" s="4" t="inlineStr">
        <is>
          <t>Cambio principal</t>
        </is>
      </c>
    </row>
    <row r="5">
      <c r="A5" s="5" t="inlineStr">
        <is>
          <t>0.5</t>
        </is>
      </c>
      <c r="B5" s="10" t="inlineStr">
        <is>
          <t>08-10-2026</t>
        </is>
      </c>
      <c r="C5" s="10" t="inlineStr">
        <is>
          <t>Informe_Primario_MVP_HORECA_Marley_Coffee.docx</t>
        </is>
      </c>
      <c r="D5" s="6" t="inlineStr">
        <is>
          <t>Informe primario previo al test (navegación y lenguaje).</t>
        </is>
      </c>
    </row>
    <row r="6">
      <c r="A6" s="5" t="inlineStr">
        <is>
          <t>0.6</t>
        </is>
      </c>
      <c r="B6" s="10" t="inlineStr">
        <is>
          <t>10-10-2026</t>
        </is>
      </c>
      <c r="C6" s="10" t="inlineStr">
        <is>
          <t>Informe_Primario_MVP_HORECA_Marley_Coffee.docx</t>
        </is>
      </c>
      <c r="D6" s="6" t="inlineStr">
        <is>
          <t>Rediseño v4: contacto humano inmediato, geografía en los dos puntajes, CRM por rol.</t>
        </is>
      </c>
    </row>
    <row r="7">
      <c r="A7" s="5" t="inlineStr">
        <is>
          <t>1.0</t>
        </is>
      </c>
      <c r="B7" s="10" t="inlineStr">
        <is>
          <t>10-10-2026</t>
        </is>
      </c>
      <c r="C7" s="10" t="inlineStr">
        <is>
          <t>Informe_EP3_MVP_HORECA_Marley_Coffee.pdf / .docx</t>
        </is>
      </c>
      <c r="D7" s="6" t="inlineStr">
        <is>
          <t>Reestructura según la pauta EP3 (apartados 1.1 a 1.7) y anexos auditables.</t>
        </is>
      </c>
    </row>
    <row r="8">
      <c r="A8" s="5" t="inlineStr">
        <is>
          <t>1.2</t>
        </is>
      </c>
      <c r="B8" s="10" t="inlineStr">
        <is>
          <t>10-10-2026</t>
        </is>
      </c>
      <c r="C8" s="10" t="inlineStr">
        <is>
          <t>Informe_EP3_MVP_HORECA_Marley_Coffee.pdf / .docx</t>
        </is>
      </c>
      <c r="D8" s="6" t="inlineStr">
        <is>
          <t>Lead magnets, integración y capa agéntica en la cadena de valor, pago y facturación B2B, blueprint de inbound y trazabilidad de fuentes.</t>
        </is>
      </c>
    </row>
    <row r="9">
      <c r="A9" s="5" t="inlineStr">
        <is>
          <t>v4</t>
        </is>
      </c>
      <c r="B9" s="10" t="inlineStr">
        <is>
          <t>10-10-2026</t>
        </is>
      </c>
      <c r="C9" s="10" t="inlineStr">
        <is>
          <t>prototipo.html · mockups.html · wireframes.html</t>
        </is>
      </c>
      <c r="D9" s="6" t="inlineStr">
        <is>
          <t>Sitio Empresas C02–C09 y CRM R01–R09; videos de casos en los tres.</t>
        </is>
      </c>
    </row>
    <row r="10">
      <c r="A10" s="5" t="inlineStr">
        <is>
          <t>v8</t>
        </is>
      </c>
      <c r="B10" s="10" t="inlineStr">
        <is>
          <t>10-10-2026</t>
        </is>
      </c>
      <c r="C10" s="10" t="inlineStr">
        <is>
          <t>diagramas.html</t>
        </is>
      </c>
      <c r="D10" s="6" t="inlineStr">
        <is>
          <t>Flujos paralelos cliente · agentes · equipo; puntajes con geografía; menú del CRM.</t>
        </is>
      </c>
    </row>
    <row r="11">
      <c r="A11" s="5" t="inlineStr">
        <is>
          <t>v4.1</t>
        </is>
      </c>
      <c r="B11" s="10" t="inlineStr">
        <is>
          <t>10-10-2026</t>
        </is>
      </c>
      <c r="C11" s="10" t="inlineStr">
        <is>
          <t>prototipo.html · mockups.html · wireframes.html · test_sitio.html · test_crm.html</t>
        </is>
      </c>
      <c r="D11" s="6" t="inlineStr">
        <is>
          <t>Lead magnets LM1–LM7 visibles antes de cada esfuerzo y conectados al CRM.</t>
        </is>
      </c>
    </row>
    <row r="12">
      <c r="A12" s="5" t="inlineStr">
        <is>
          <t>v9</t>
        </is>
      </c>
      <c r="B12" s="10" t="inlineStr">
        <is>
          <t>10-10-2026</t>
        </is>
      </c>
      <c r="C12" s="10" t="inlineStr">
        <is>
          <t>diagramas.html</t>
        </is>
      </c>
      <c r="D12" s="6" t="inlineStr">
        <is>
          <t>Design Thinking, mapa del sitio, tareas críticas, matriz de lead magnets y carril LM en los flujos 1 y 2.</t>
        </is>
      </c>
    </row>
    <row r="13">
      <c r="A13" s="5" t="inlineStr">
        <is>
          <t>1.1</t>
        </is>
      </c>
      <c r="B13" s="10" t="inlineStr">
        <is>
          <t>10-10-2026</t>
        </is>
      </c>
      <c r="C13" s="10" t="inlineStr">
        <is>
          <t>Anexo_E_Matrices_MVP_Marley_Coffee.xlsx</t>
        </is>
      </c>
      <c r="D13" s="6" t="inlineStr">
        <is>
          <t>Hoja 15 de lead magnets, H11 y protocolo de 3 o 4 participantes.</t>
        </is>
      </c>
    </row>
    <row r="14">
      <c r="A14" s="5" t="inlineStr">
        <is>
          <t>v10</t>
        </is>
      </c>
      <c r="B14" s="10" t="inlineStr">
        <is>
          <t>10-10-2026</t>
        </is>
      </c>
      <c r="C14" s="10" t="inlineStr">
        <is>
          <t>diagramas.html</t>
        </is>
      </c>
      <c r="D14" s="6" t="inlineStr">
        <is>
          <t>Capa agéntica e integración en la cadena de valor (flujo 5), sistemas y conexión, blueprint de inbound (flujo 6) y contenido segmentado.</t>
        </is>
      </c>
    </row>
    <row r="15">
      <c r="A15" s="5" t="inlineStr">
        <is>
          <t>1.2</t>
        </is>
      </c>
      <c r="B15" s="10" t="inlineStr">
        <is>
          <t>10-10-2026</t>
        </is>
      </c>
      <c r="C15" s="10" t="inlineStr">
        <is>
          <t>Anexo_E_Matrices_MVP_Marley_Coffee.xlsx</t>
        </is>
      </c>
      <c r="D15" s="6" t="inlineStr">
        <is>
          <t>Este archivo: hojas 16 (economía unitaria), 17 (integración) y 18 (blueprint de inbound); KPIs K25–K29.</t>
        </is>
      </c>
    </row>
    <row r="16">
      <c r="A16" s="5" t="inlineStr">
        <is>
          <t>1.0</t>
        </is>
      </c>
      <c r="B16" s="10" t="inlineStr">
        <is>
          <t>12-10-2026</t>
        </is>
      </c>
      <c r="C16" s="10" t="inlineStr">
        <is>
          <t>Blueprint_Inbound_Marley_Coffee.pdf (Anexo F)</t>
        </is>
      </c>
      <c r="D16" s="6" t="inlineStr">
        <is>
          <t>Export del blueprint de inbound: flywheel, hoja 18, workflows (hoja 05) y KPIs del inbound (hoja 04).</t>
        </is>
      </c>
    </row>
    <row r="17">
      <c r="A17" s="5" t="inlineStr">
        <is>
          <t>v5</t>
        </is>
      </c>
      <c r="B17" s="10" t="inlineStr">
        <is>
          <t>12-10-2026</t>
        </is>
      </c>
      <c r="C17" s="10" t="inlineStr">
        <is>
          <t>prototipo.html · mockups.html · wireframes.html · recursos/</t>
        </is>
      </c>
      <c r="D17" s="6" t="inlineStr">
        <is>
          <t>Marca oficial (fuentes y amarillo), video al scroll, 4 máquinas, servicios, cotización con rangos supuestos, portal por estados, llamada en vivo, CRM por rol, SEO/AEO y test integrado.</t>
        </is>
      </c>
    </row>
    <row r="18">
      <c r="A18" s="5" t="inlineStr">
        <is>
          <t>v11</t>
        </is>
      </c>
      <c r="B18" s="10" t="inlineStr">
        <is>
          <t>12-10-2026</t>
        </is>
      </c>
      <c r="C18" s="10" t="inlineStr">
        <is>
          <t>diagramas.html</t>
        </is>
      </c>
      <c r="D18" s="6" t="inlineStr">
        <is>
          <t>Blueprint sobre el flywheel, flujos de 3 carriles con versión vertical, CRM por rol y contrato por tarea.</t>
        </is>
      </c>
    </row>
    <row r="19">
      <c r="A19" s="5" t="inlineStr">
        <is>
          <t>1.3</t>
        </is>
      </c>
      <c r="B19" s="10" t="inlineStr">
        <is>
          <t>12-10-2026</t>
        </is>
      </c>
      <c r="C19" s="10" t="inlineStr">
        <is>
          <t>Anexo_E_Matrices_MVP_Marley_Coffee.xlsx</t>
        </is>
      </c>
      <c r="D19" s="6" t="inlineStr">
        <is>
          <t>Este archivo: hojas 19 (precios supuestos), 20 (roles del CRM) y 21 (SEO y AEO); flywheel en la hoja 18; H12–H21; v5 en la hoja 11.</t>
        </is>
      </c>
    </row>
    <row r="20">
      <c r="A20" s="5" t="inlineStr">
        <is>
          <t>2.0</t>
        </is>
      </c>
      <c r="B20" s="10" t="inlineStr">
        <is>
          <t>12-10-2026</t>
        </is>
      </c>
      <c r="C20" s="10" t="inlineStr">
        <is>
          <t>Informe_EP3_MVP_HORECA_Marley_Coffee.pdf</t>
        </is>
      </c>
      <c r="D20" s="6" t="inlineStr">
        <is>
          <t>Informe reescrito con la skill de informes (HTML → PDF): hilo narrativo y matrices en anexos.</t>
        </is>
      </c>
    </row>
    <row r="21">
      <c r="A21" s="5" t="inlineStr">
        <is>
          <t>2.1</t>
        </is>
      </c>
      <c r="B21" s="10" t="inlineStr">
        <is>
          <t>13-10-2026</t>
        </is>
      </c>
      <c r="C21" s="10" t="inlineStr">
        <is>
          <t>Informe_EP3_MVP_HORECA_Marley_Coffee.pdf</t>
        </is>
      </c>
      <c r="D21" s="6" t="inlineStr">
        <is>
          <t>Ingreso de trabajadores al CRM (Figura 6), vocabulario simple para explicar las modalidades, carrusel de máquinas y flywheel solo en el Anexo F.</t>
        </is>
      </c>
    </row>
    <row r="22">
      <c r="A22" s="5" t="inlineStr">
        <is>
          <t>1.1</t>
        </is>
      </c>
      <c r="B22" s="10" t="inlineStr">
        <is>
          <t>12-10-2026</t>
        </is>
      </c>
      <c r="C22" s="10" t="inlineStr">
        <is>
          <t>Blueprint_Inbound_Marley_Coffee.pdf (Anexo F)</t>
        </is>
      </c>
      <c r="D22" s="6" t="inlineStr">
        <is>
          <t>Blueprint sobre el flywheel con puntaje acumulado.</t>
        </is>
      </c>
    </row>
    <row r="23">
      <c r="A23" s="5" t="inlineStr">
        <is>
          <t>v6</t>
        </is>
      </c>
      <c r="B23" s="10" t="inlineStr">
        <is>
          <t>15-10-2026</t>
        </is>
      </c>
      <c r="C23" s="10" t="inlineStr">
        <is>
          <t>prototipo.html · mockups.html · wireframes.html · test_sitio.html · test_crm.html</t>
        </is>
      </c>
      <c r="D23" s="6" t="inlineStr">
        <is>
          <t>Después del test con 5 usuarios: máquinas primero, portada de 2 momentos, 3 pasos sugeridos, propuesta al instante, datos al final, ajustes al instante y «¡Listo!»; CRM con lo cotizado y la propuesta sugerida, campana, guía de 3 pasos, ingreso sin distinguir mayúsculas y panel de jefatura con filtros y detalle; C01 con «MENÚ» y Empresas a la vista en celular.</t>
        </is>
      </c>
    </row>
    <row r="24">
      <c r="A24" s="5" t="inlineStr">
        <is>
          <t>v13</t>
        </is>
      </c>
      <c r="B24" s="10" t="inlineStr">
        <is>
          <t>15-10-2026</t>
        </is>
      </c>
      <c r="C24" s="10" t="inlineStr">
        <is>
          <t>diagramas.html</t>
        </is>
      </c>
      <c r="D24" s="6" t="inlineStr">
        <is>
          <t>Flujo 1, puntaje acumulado, tareas, contrato por tarea y mapa del sitio con el recorrido v6.</t>
        </is>
      </c>
    </row>
    <row r="25">
      <c r="A25" s="5" t="inlineStr">
        <is>
          <t>1.4</t>
        </is>
      </c>
      <c r="B25" s="10" t="inlineStr">
        <is>
          <t>15-10-2026</t>
        </is>
      </c>
      <c r="C25" s="10" t="inlineStr">
        <is>
          <t>Anexo_E_Matrices_MVP_Marley_Coffee.xlsx</t>
        </is>
      </c>
      <c r="D25" s="6" t="inlineStr">
        <is>
          <t>Este archivo: formato de tabla en todas las hojas; resultados reales del test (08 a 11) y hoja 22 con los cambios después del test.</t>
        </is>
      </c>
    </row>
    <row r="26">
      <c r="A26" s="5" t="inlineStr">
        <is>
          <t>1.2</t>
        </is>
      </c>
      <c r="B26" s="10" t="inlineStr">
        <is>
          <t>15-10-2026</t>
        </is>
      </c>
      <c r="C26" s="10" t="inlineStr">
        <is>
          <t>Blueprint_Inbound_Marley_Coffee.pdf (Anexo F)</t>
        </is>
      </c>
      <c r="D26" s="6" t="inlineStr">
        <is>
          <t>Etapas y puntaje con el orden v6 (datos al final).</t>
        </is>
      </c>
    </row>
    <row r="27">
      <c r="A27" s="5" t="inlineStr">
        <is>
          <t>3.0</t>
        </is>
      </c>
      <c r="B27" s="10" t="inlineStr">
        <is>
          <t>15-10-2026</t>
        </is>
      </c>
      <c r="C27" s="10" t="inlineStr">
        <is>
          <t>Informe_EP3_MVP_HORECA_Marley_Coffee.pdf</t>
        </is>
      </c>
      <c r="D27" s="6" t="inlineStr">
        <is>
          <t>Informe final de 13 páginas: menos técnico, con los resultados del test y lo que se cambió; imágenes en los anexos.</t>
        </is>
      </c>
    </row>
    <row r="28">
      <c r="A28" s="5" t="inlineStr">
        <is>
          <t>v6.1</t>
        </is>
      </c>
      <c r="B28" s="10" t="inlineStr">
        <is>
          <t>15-10-2026</t>
        </is>
      </c>
      <c r="C28" s="10" t="inlineStr">
        <is>
          <t>prototipo.html · mockups.html · wireframes.html · test_sitio.html · test_crm.html</t>
        </is>
      </c>
      <c r="D28" s="6" t="inlineStr">
        <is>
          <t>Formulario de datos básicos de vuelta al principio (recuperar a quien abandona: N.º de seguimiento por correo, propuesta por correo y aviso de abandono W4) y botón «Ver en celular» en la barra de los 3 archivos.</t>
        </is>
      </c>
    </row>
    <row r="29">
      <c r="A29" s="5" t="inlineStr">
        <is>
          <t>v14</t>
        </is>
      </c>
      <c r="B29" s="10" t="inlineStr">
        <is>
          <t>15-10-2026</t>
        </is>
      </c>
      <c r="C29" s="10" t="inlineStr">
        <is>
          <t>diagramas.html</t>
        </is>
      </c>
      <c r="D29" s="6" t="inlineStr">
        <is>
          <t>Flujo 1, puntaje por etapa, tareas, contrato por tarea y mapa del sitio con los datos al principio.</t>
        </is>
      </c>
    </row>
    <row r="30">
      <c r="A30" s="5" t="inlineStr">
        <is>
          <t>1.5</t>
        </is>
      </c>
      <c r="B30" s="10" t="inlineStr">
        <is>
          <t>15-10-2026</t>
        </is>
      </c>
      <c r="C30" s="10" t="inlineStr">
        <is>
          <t>Anexo_E_Matrices_MVP_Marley_Coffee.xlsx</t>
        </is>
      </c>
      <c r="D30" s="6" t="inlineStr">
        <is>
          <t>Este archivo: workflows W1 a W4, plan de test, H23, comparación, supuestos y blueprint con los datos al principio (v6.1).</t>
        </is>
      </c>
    </row>
    <row r="31">
      <c r="A31" s="5" t="inlineStr">
        <is>
          <t>1.3</t>
        </is>
      </c>
      <c r="B31" s="10" t="inlineStr">
        <is>
          <t>15-10-2026</t>
        </is>
      </c>
      <c r="C31" s="10" t="inlineStr">
        <is>
          <t>Blueprint_Inbound_Marley_Coffee.pdf (Anexo F)</t>
        </is>
      </c>
      <c r="D31" s="6" t="inlineStr">
        <is>
          <t>Etapas y puntaje con los datos al principio (v6.1).</t>
        </is>
      </c>
    </row>
    <row r="32">
      <c r="A32" s="5" t="inlineStr">
        <is>
          <t>3.1</t>
        </is>
      </c>
      <c r="B32" s="10" t="inlineStr">
        <is>
          <t>15-10-2026</t>
        </is>
      </c>
      <c r="C32" s="10" t="inlineStr">
        <is>
          <t>Informe_EP3_MVP_HORECA_Marley_Coffee.pdf</t>
        </is>
      </c>
      <c r="D32" s="6" t="inlineStr">
        <is>
          <t>Informe final más corto: texto en Arial, matrices en el Excel, datos al principio (v6.1) y vista celular.</t>
        </is>
      </c>
    </row>
    <row r="33">
      <c r="A33" s="5" t="inlineStr">
        <is>
          <t>v8</t>
        </is>
      </c>
      <c r="B33" s="10" t="inlineStr">
        <is>
          <t>15-10-2026</t>
        </is>
      </c>
      <c r="C33" s="10" t="inlineStr">
        <is>
          <t>Kit de test (6_TEST_USABILIDAD)</t>
        </is>
      </c>
      <c r="D33" s="6" t="inlineStr">
        <is>
          <t>Informe del test con tiempos por etapa, mapa de calor con toques numerados y línea de tiempo completa en el anexo.</t>
        </is>
      </c>
    </row>
    <row r="34">
      <c r="A34" s="5" t="inlineStr">
        <is>
          <t>v12</t>
        </is>
      </c>
      <c r="B34" s="10" t="inlineStr">
        <is>
          <t>13-10-2026</t>
        </is>
      </c>
      <c r="C34" s="10" t="inlineStr">
        <is>
          <t>diagramas.html</t>
        </is>
      </c>
      <c r="D34" s="6" t="inlineStr">
        <is>
          <t>Cada diagrama cabe entero en la pantalla, con zoom, arrastre y pantalla completa (escritorio y celular); R00 como ingreso de trabajadores; el flywheel queda solo en el blueprint (Anexo F).</t>
        </is>
      </c>
    </row>
    <row r="35">
      <c r="A35" s="5" t="inlineStr">
        <is>
          <t>1.6</t>
        </is>
      </c>
      <c r="B35" s="10" t="inlineStr">
        <is>
          <t>15-10-2026</t>
        </is>
      </c>
      <c r="C35" s="10" t="inlineStr">
        <is>
          <t>Anexo_E_Matrices_MVP_Marley_Coffee.xlsx</t>
        </is>
      </c>
      <c r="D35" s="6" t="inlineStr">
        <is>
          <t>Este archivo (Anexo E): hipótesis H1 a H6 —las mismas del informe—, KPIs K30 a K32 (amplitud, margen por cuenta y reposiciones manuales), glosario ampliado, experimentos del botón Empresas, la landing SEM y el orden de los lead magnets, y la decisión sobre modalidades en la hoja 19.</t>
        </is>
      </c>
    </row>
    <row r="36">
      <c r="A36" s="7" t="inlineStr">
        <is>
          <t>3.2</t>
        </is>
      </c>
      <c r="B36" s="14" t="inlineStr">
        <is>
          <t>15-10-2026</t>
        </is>
      </c>
      <c r="C36" s="14" t="inlineStr">
        <is>
          <t>Informe_EP3_MVP_HORECA_Marley_Coffee.pdf / .docx</t>
        </is>
      </c>
      <c r="D36" s="8" t="inlineStr">
        <is>
          <t>Informe con la propuesta al centro: vocabulario del caso, hipótesis con su KPI, decisiones de modalidades con fuente y anexos G a I; mismas matrices que el Anexo E 1.6.</t>
        </is>
      </c>
    </row>
  </sheetData>
  <mergeCells count="1"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K2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11" customWidth="1" min="4" max="4"/>
    <col width="24" customWidth="1" min="5" max="5"/>
    <col width="44" customWidth="1" min="6" max="6"/>
    <col width="34" customWidth="1" min="7" max="7"/>
    <col width="24" customWidth="1" min="8" max="8"/>
    <col width="20" customWidth="1" min="9" max="9"/>
    <col width="38" customWidth="1" min="10" max="10"/>
    <col width="24" customWidth="1" min="11" max="11"/>
  </cols>
  <sheetData>
    <row r="1" ht="28" customHeight="1">
      <c r="A1" s="1" t="inlineStr">
        <is>
          <t>Lead magnets LM1–LM7 · antes de cada esfuerzo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6" customHeight="1">
      <c r="A2" s="3" t="inlineStr">
        <is>
          <t>Prompt del proyecto: lead magnets asociados al servicio, a su continuidad y a escalar la experiencia (accesorios, eventos, catering, activaciones, material POP, branding). Sin precios ni descuentos. Misma fuente que el prototipo.</t>
        </is>
      </c>
    </row>
    <row r="3"/>
    <row r="4" ht="30" customHeight="1">
      <c r="A4" s="4" t="inlineStr">
        <is>
          <t>LM</t>
        </is>
      </c>
      <c r="B4" s="4" t="inlineStr">
        <is>
          <t>Nombre</t>
        </is>
      </c>
      <c r="C4" s="4" t="inlineStr">
        <is>
          <t>Promesa (texto en pantalla)</t>
        </is>
      </c>
      <c r="D4" s="4" t="inlineStr">
        <is>
          <t>Pantalla</t>
        </is>
      </c>
      <c r="E4" s="4" t="inlineStr">
        <is>
          <t>Aparece</t>
        </is>
      </c>
      <c r="F4" s="4" t="inlineStr">
        <is>
          <t>Qué recibe el cliente</t>
        </is>
      </c>
      <c r="G4" s="4" t="inlineStr">
        <is>
          <t>Qué obtiene Marley Coffee</t>
        </is>
      </c>
      <c r="H4" s="4" t="inlineStr">
        <is>
          <t>Señal / puntaje</t>
        </is>
      </c>
      <c r="I4" s="4" t="inlineStr">
        <is>
          <t>Agente</t>
        </is>
      </c>
      <c r="J4" s="4" t="inlineStr">
        <is>
          <t>Indicador para medirlo</t>
        </is>
      </c>
      <c r="K4" s="4" t="inlineStr">
        <is>
          <t>Siguiente paso</t>
        </is>
      </c>
    </row>
    <row r="5">
      <c r="A5" s="5" t="inlineStr">
        <is>
          <t>LM1</t>
        </is>
      </c>
      <c r="B5" s="10" t="inlineStr">
        <is>
          <t>Orientación</t>
        </is>
      </c>
      <c r="C5" s="10" t="inlineStr">
        <is>
          <t>Descubre qué solución Marley Coffee se adapta a tu negocio</t>
        </is>
      </c>
      <c r="D5" s="10" t="inlineStr">
        <is>
          <t>C02</t>
        </is>
      </c>
      <c r="E5" s="10" t="inlineStr">
        <is>
          <t>Después de ver las máquinas, antes de pulsar «Ver mi solución»</t>
        </is>
      </c>
      <c r="F5" s="10" t="inlineStr">
        <is>
          <t>La máquina que te conviene, el café al mes y la ejecutiva de tu zona, en 1 minuto.</t>
        </is>
      </c>
      <c r="G5" s="10" t="inlineStr">
        <is>
          <t>Intención declarada y origen del contacto.</t>
        </is>
      </c>
      <c r="H5" s="10" t="inlineStr">
        <is>
          <t>Pulsa «Ver mi solución» (+10)</t>
        </is>
      </c>
      <c r="I5" s="10" t="inlineStr">
        <is>
          <t>Marketing</t>
        </is>
      </c>
      <c r="J5" s="10" t="inlineStr">
        <is>
          <t>Clics en «Ver mi solución» / visitas a Empresas</t>
        </is>
      </c>
      <c r="K5" s="6" t="inlineStr">
        <is>
          <t>C04</t>
        </is>
      </c>
    </row>
    <row r="6">
      <c r="A6" s="5" t="inlineStr">
        <is>
          <t>LM2</t>
        </is>
      </c>
      <c r="B6" s="10" t="inlineStr">
        <is>
          <t>Avance</t>
        </is>
      </c>
      <c r="C6" s="10" t="inlineStr">
        <is>
          <t>Recibe tu propuesta y tu número de seguimiento</t>
        </is>
      </c>
      <c r="D6" s="10" t="inlineStr">
        <is>
          <t>C03</t>
        </is>
      </c>
      <c r="E6" s="10" t="inlineStr">
        <is>
          <t>Antes de dejar los datos, al empezar (antes del diagnóstico)</t>
        </is>
      </c>
      <c r="F6" s="10" t="inlineStr">
        <is>
          <t>Tu propuesta y un número de seguimiento en tu correo para retomar cuando quieras, sin repetir respuestas.</t>
        </is>
      </c>
      <c r="G6" s="10" t="inlineStr">
        <is>
          <t>Correo con permiso: contacto identificado.</t>
        </is>
      </c>
      <c r="H6" s="10" t="inlineStr">
        <is>
          <t>Formulario 1 (+20)</t>
        </is>
      </c>
      <c r="I6" s="10" t="inlineStr">
        <is>
          <t>Calificación</t>
        </is>
      </c>
      <c r="J6" s="10" t="inlineStr">
        <is>
          <t>Correos con permiso / visitas a C03</t>
        </is>
      </c>
      <c r="K6" s="6" t="inlineStr">
        <is>
          <t>C06</t>
        </is>
      </c>
    </row>
    <row r="7">
      <c r="A7" s="5" t="inlineStr">
        <is>
          <t>LM3</t>
        </is>
      </c>
      <c r="B7" s="10" t="inlineStr">
        <is>
          <t>Configuración</t>
        </is>
      </c>
      <c r="C7" s="10" t="inlineStr">
        <is>
          <t>Configura el café de tu negocio</t>
        </is>
      </c>
      <c r="D7" s="10" t="inlineStr">
        <is>
          <t>C04 · C05</t>
        </is>
      </c>
      <c r="E7" s="10" t="inlineStr">
        <is>
          <t>Antes del diagnóstico de 3 pasos</t>
        </is>
      </c>
      <c r="F7" s="10" t="inlineStr">
        <is>
          <t>Tu propuesta al instante: máquina, modalidad, café al mes, precio mensual estimado y la ruta de despacho de tu comuna.</t>
        </is>
      </c>
      <c r="G7" s="10" t="inlineStr">
        <is>
          <t>Datos para calificar: negocio, volumen, servicio, preferencias y comuna (zona).</t>
        </is>
      </c>
      <c r="H7" s="10" t="inlineStr">
        <is>
          <t>Diagnóstico y comuna (+24 a +32)</t>
        </is>
      </c>
      <c r="I7" s="10" t="inlineStr">
        <is>
          <t>Calificación y Orquestador</t>
        </is>
      </c>
      <c r="J7" s="10" t="inlineStr">
        <is>
          <t>Diagnósticos completos / diagnósticos iniciados</t>
        </is>
      </c>
      <c r="K7" s="6" t="inlineStr">
        <is>
          <t>C05</t>
        </is>
      </c>
    </row>
    <row r="8">
      <c r="A8" s="5" t="inlineStr">
        <is>
          <t>LM4</t>
        </is>
      </c>
      <c r="B8" s="10" t="inlineStr">
        <is>
          <t>Ampliación</t>
        </is>
      </c>
      <c r="C8" s="10" t="inlineStr">
        <is>
          <t>Descubre cómo ampliar la experiencia Marley Coffee</t>
        </is>
      </c>
      <c r="D8" s="10" t="inlineStr">
        <is>
          <t>C05 · C07</t>
        </is>
      </c>
      <c r="E8" s="10" t="inlineStr">
        <is>
          <t>Junto a la propuesta, como recomendación apagada</t>
        </is>
      </c>
      <c r="F8" s="10" t="inlineStr">
        <is>
          <t>Extras recomendados para tu negocio: tazas de la marca, material para tu local, capacitación, eventos o catering. Solo entra lo que marcas.</t>
        </is>
      </c>
      <c r="G8" s="10" t="inlineStr">
        <is>
          <t>Venta cruzada: sube el ticket promedio.</t>
        </is>
      </c>
      <c r="H8" s="10" t="inlineStr">
        <is>
          <t>Recomendación (+8) y propuesta ampliada (+12)</t>
        </is>
      </c>
      <c r="I8" s="10" t="inlineStr">
        <is>
          <t>Ventas</t>
        </is>
      </c>
      <c r="J8" s="10" t="inlineStr">
        <is>
          <t>Prospectos que marcan interés o eligen la ampliada / propuestas enviadas</t>
        </is>
      </c>
      <c r="K8" s="6" t="inlineStr">
        <is>
          <t>SQL (lo acepta una persona)</t>
        </is>
      </c>
    </row>
    <row r="9">
      <c r="A9" s="5" t="inlineStr">
        <is>
          <t>LM5</t>
        </is>
      </c>
      <c r="B9" s="10" t="inlineStr">
        <is>
          <t>Reposición</t>
        </is>
      </c>
      <c r="C9" s="10" t="inlineStr">
        <is>
          <t>Repón en menos pasos y mantén continuidad</t>
        </is>
      </c>
      <c r="D9" s="10" t="inlineStr">
        <is>
          <t>C09</t>
        </is>
      </c>
      <c r="E9" s="10" t="inlineStr">
        <is>
          <t>Antes de repetir el pedido</t>
        </is>
      </c>
      <c r="F9" s="10" t="inlineStr">
        <is>
          <t>Repetir el último pedido con un toque y un aviso antes de quedarte sin café, según tu consumo.</t>
        </is>
      </c>
      <c r="G9" s="10" t="inlineStr">
        <is>
          <t>Frecuencia de compra estable; menos clientes inactivos.</t>
        </is>
      </c>
      <c r="H9" s="10" t="inlineStr">
        <is>
          <t>Financial: frecuencia (25 %)</t>
        </is>
      </c>
      <c r="I9" s="10" t="inlineStr">
        <is>
          <t>Postventa y Logística</t>
        </is>
      </c>
      <c r="J9" s="10" t="inlineStr">
        <is>
          <t>Reposiciones digitales / reposiciones totales; avisos activados</t>
        </is>
      </c>
      <c r="K9" s="6" t="inlineStr">
        <is>
          <t>Pedido de reposición</t>
        </is>
      </c>
    </row>
    <row r="10">
      <c r="A10" s="5" t="inlineStr">
        <is>
          <t>LM6</t>
        </is>
      </c>
      <c r="B10" s="10" t="inlineStr">
        <is>
          <t>Expansión</t>
        </is>
      </c>
      <c r="C10" s="10" t="inlineStr">
        <is>
          <t>Escala tu experiencia Marley Coffee</t>
        </is>
      </c>
      <c r="D10" s="10" t="inlineStr">
        <is>
          <t>C09</t>
        </is>
      </c>
      <c r="E10" s="10" t="inlineStr">
        <is>
          <t>Antes de pedir un servicio nuevo</t>
        </is>
      </c>
      <c r="F10" s="10" t="inlineStr">
        <is>
          <t>Eventos y catering con Marley Coffee, puntos de activación, material POP y branding, tazas y accesorios.</t>
        </is>
      </c>
      <c r="G10" s="10" t="inlineStr">
        <is>
          <t>Más categorías por cliente y ticket más alto.</t>
        </is>
      </c>
      <c r="H10" s="10" t="inlineStr">
        <is>
          <t>Financial: amplitud (10 %) y ticket (30 %)</t>
        </is>
      </c>
      <c r="I10" s="10" t="inlineStr">
        <is>
          <t>Postventa y Ventas</t>
        </is>
      </c>
      <c r="J10" s="10" t="inlineStr">
        <is>
          <t>Solicitudes de servicio / clientes activos</t>
        </is>
      </c>
      <c r="K10" s="6" t="inlineStr">
        <is>
          <t>Propuesta de servicio del ejecutivo de cuenta</t>
        </is>
      </c>
    </row>
    <row r="11">
      <c r="A11" s="7" t="inlineStr">
        <is>
          <t>LM7</t>
        </is>
      </c>
      <c r="B11" s="14" t="inlineStr">
        <is>
          <t>Referido</t>
        </is>
      </c>
      <c r="C11" s="14" t="inlineStr">
        <is>
          <t>Recomienda Marley Coffee con un beneficio experiencial</t>
        </is>
      </c>
      <c r="D11" s="14" t="inlineStr">
        <is>
          <t>C09</t>
        </is>
      </c>
      <c r="E11" s="14" t="inlineStr">
        <is>
          <t>Antes de compartir su código</t>
        </is>
      </c>
      <c r="F11" s="14" t="inlineStr">
        <is>
          <t>Si otro negocio se suma con tu código, ambos reciben una experiencia de marca (cata para el equipo o material de marca), sujeta a aprobación.</t>
        </is>
      </c>
      <c r="G11" s="14" t="inlineStr">
        <is>
          <t>Nuevos contactos con origen «Referido».</t>
        </is>
      </c>
      <c r="H11" s="14" t="inlineStr">
        <is>
          <t>Origen: Referido</t>
        </is>
      </c>
      <c r="I11" s="14" t="inlineStr">
        <is>
          <t>Postventa y Marketing</t>
        </is>
      </c>
      <c r="J11" s="14" t="inlineStr">
        <is>
          <t>Contactos con origen «Referido» / clientes activos</t>
        </is>
      </c>
      <c r="K11" s="8" t="inlineStr">
        <is>
          <t>Nuevo contacto en el CRM</t>
        </is>
      </c>
    </row>
    <row r="12"/>
    <row r="13">
      <c r="A13" s="50" t="inlineStr">
        <is>
          <t>Adaptación por tipo de negocio (LM3 cambia su texto; LM4 y LM6 ofrecen primero estos servicios)</t>
        </is>
      </c>
    </row>
    <row r="14" ht="30" customHeight="1">
      <c r="A14" s="4" t="inlineStr">
        <is>
          <t>Negocio</t>
        </is>
      </c>
      <c r="B14" s="4" t="inlineStr"/>
      <c r="C14" s="4" t="inlineStr">
        <is>
          <t>LM3 · lo que verá al terminar</t>
        </is>
      </c>
      <c r="D14" s="4" t="inlineStr"/>
      <c r="E14" s="4" t="inlineStr"/>
      <c r="F14" s="4" t="inlineStr">
        <is>
          <t>LM4 / LM6 · servicios que se ofrecen primero</t>
        </is>
      </c>
    </row>
    <row r="15">
      <c r="A15" s="5" t="inlineStr">
        <is>
          <t>Hotel</t>
        </is>
      </c>
      <c r="B15" s="10" t="inlineStr"/>
      <c r="C15" s="10" t="inlineStr">
        <is>
          <t>Bar para el desayuno, Pods en las habitaciones y tazas de la marca para el lobby</t>
        </is>
      </c>
      <c r="D15" s="10" t="inlineStr"/>
      <c r="E15" s="10" t="inlineStr"/>
      <c r="F15" s="6" t="inlineStr">
        <is>
          <t>Tazas y accesorios de la marca, Material de marca para tu local, Coffee Experience para eventos</t>
        </is>
      </c>
    </row>
    <row r="16">
      <c r="A16" s="52" t="inlineStr">
        <is>
          <t>Restaurante</t>
        </is>
      </c>
      <c r="B16" s="53" t="inlineStr"/>
      <c r="C16" s="53" t="inlineStr">
        <is>
          <t>espresso de sobremesa con grano o molido y la taza de la marca en cada mesa</t>
        </is>
      </c>
      <c r="D16" s="53" t="inlineStr"/>
      <c r="E16" s="53" t="inlineStr"/>
      <c r="F16" s="54" t="inlineStr">
        <is>
          <t>Tazas y accesorios de la marca, Material de marca para tu local, Catering con la marca</t>
        </is>
      </c>
    </row>
    <row r="17">
      <c r="A17" s="5" t="inlineStr">
        <is>
          <t>Cafetería</t>
        </is>
      </c>
      <c r="B17" s="10" t="inlineStr"/>
      <c r="C17" s="10" t="inlineStr">
        <is>
          <t>café en grano para la barra y variedad de preparaciones</t>
        </is>
      </c>
      <c r="D17" s="10" t="inlineStr"/>
      <c r="E17" s="10" t="inlineStr"/>
      <c r="F17" s="6" t="inlineStr">
        <is>
          <t>Capacitación de barista, Material de marca para tu local, Punto de activación</t>
        </is>
      </c>
    </row>
    <row r="18">
      <c r="A18" s="55" t="inlineStr">
        <is>
          <t>Eventos o catering</t>
        </is>
      </c>
      <c r="B18" s="56" t="inlineStr"/>
      <c r="C18" s="56" t="inlineStr">
        <is>
          <t>Coffee Experience con barra y barista, o Café al paso para volumen alto</t>
        </is>
      </c>
      <c r="D18" s="56" t="inlineStr"/>
      <c r="E18" s="56" t="inlineStr"/>
      <c r="F18" s="57" t="inlineStr">
        <is>
          <t>Punto de activación, Material de marca para tu local, Catering con la marca</t>
        </is>
      </c>
    </row>
    <row r="19"/>
    <row r="20">
      <c r="A20" s="50" t="inlineStr">
        <is>
          <t>Servicios para ampliar y escalar (sin precios; condiciones las define la ejecutiva)</t>
        </is>
      </c>
    </row>
    <row r="21">
      <c r="A21" s="10" t="inlineStr">
        <is>
          <t>accesorios</t>
        </is>
      </c>
      <c r="B21" s="10" t="inlineStr">
        <is>
          <t>Tazas y accesorios de la marca</t>
        </is>
      </c>
      <c r="C21" s="10" t="inlineStr">
        <is>
          <t>Taza mug negra y travel mug Marley Coffee para tu servicio.</t>
        </is>
      </c>
    </row>
    <row r="22">
      <c r="A22" s="10" t="inlineStr">
        <is>
          <t>pop</t>
        </is>
      </c>
      <c r="B22" s="10" t="inlineStr">
        <is>
          <t>Material de marca para tu local</t>
        </is>
      </c>
      <c r="C22" s="10" t="inlineStr">
        <is>
          <t>Frente de barra, piso modular, exhibidor de bolsas y carta con la marca.</t>
        </is>
      </c>
    </row>
    <row r="23">
      <c r="A23" s="10" t="inlineStr">
        <is>
          <t>evento</t>
        </is>
      </c>
      <c r="B23" s="10" t="inlineStr">
        <is>
          <t>Coffee Experience para eventos</t>
        </is>
      </c>
      <c r="C23" s="10" t="inlineStr">
        <is>
          <t>Barra Marley Coffee con barista, tazas y material de marca para tu evento.</t>
        </is>
      </c>
    </row>
    <row r="24">
      <c r="A24" s="10" t="inlineStr">
        <is>
          <t>catering</t>
        </is>
      </c>
      <c r="B24" s="10" t="inlineStr">
        <is>
          <t>Catering con la marca</t>
        </is>
      </c>
      <c r="C24" s="10" t="inlineStr">
        <is>
          <t>Coffee break con mantel, tazas y café Marley Coffee para reuniones y lanzamientos.</t>
        </is>
      </c>
    </row>
    <row r="25">
      <c r="A25" s="10" t="inlineStr">
        <is>
          <t>activacion</t>
        </is>
      </c>
      <c r="B25" s="10" t="inlineStr">
        <is>
          <t>Punto de activación</t>
        </is>
      </c>
      <c r="C25" s="10" t="inlineStr">
        <is>
          <t>Un módulo Marley Coffee con barista en tu local, hotel o centro comercial por una temporada.</t>
        </is>
      </c>
    </row>
    <row r="26">
      <c r="A26" s="10" t="inlineStr">
        <is>
          <t>capacitacion</t>
        </is>
      </c>
      <c r="B26" s="10" t="inlineStr">
        <is>
          <t>Capacitación de barista</t>
        </is>
      </c>
      <c r="C26" s="10" t="inlineStr">
        <is>
          <t>Tu equipo aprende a preparar y cuidar la máquina con un barista de Marley Coffee.</t>
        </is>
      </c>
    </row>
    <row r="27">
      <c r="A27" s="10" t="inlineStr">
        <is>
          <t>ocs</t>
        </is>
      </c>
      <c r="B27" s="10" t="inlineStr">
        <is>
          <t>Office Coffee Service</t>
        </is>
      </c>
      <c r="C27" s="10" t="inlineStr">
        <is>
          <t>Reposición programada, mantención de la máquina y soporte para tu operación.</t>
        </is>
      </c>
    </row>
  </sheetData>
  <mergeCells count="1">
    <mergeCell ref="A2:K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D2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70" customWidth="1" min="4" max="4"/>
  </cols>
  <sheetData>
    <row r="1" ht="28" customHeight="1">
      <c r="A1" s="1" t="inlineStr">
        <is>
          <t>Economía unitaria con las metas del caso</t>
        </is>
      </c>
      <c r="B1" s="2" t="n"/>
      <c r="C1" s="2" t="n"/>
      <c r="D1" s="2" t="n"/>
    </row>
    <row r="2" ht="26" customHeight="1">
      <c r="A2" s="3" t="inlineStr">
        <is>
          <t>Celdas amarillas = supuestos académicos del caso [3] o datos por levantar. Celdas grises = fórmulas. Sin costos ni márgenes reales: no se inventan; las fórmulas quedan listas para el piloto.</t>
        </is>
      </c>
    </row>
    <row r="3"/>
    <row r="4" ht="30" customHeight="1">
      <c r="A4" s="4" t="inlineStr">
        <is>
          <t>Concepto</t>
        </is>
      </c>
      <c r="B4" s="4" t="inlineStr">
        <is>
          <t>Hoy</t>
        </is>
      </c>
      <c r="C4" s="4" t="inlineStr">
        <is>
          <t>Meta / escenario</t>
        </is>
      </c>
      <c r="D4" s="4" t="inlineStr">
        <is>
          <t>Fórmula o fuente</t>
        </is>
      </c>
    </row>
    <row r="5">
      <c r="A5" s="5" t="inlineStr">
        <is>
          <t>Retención anual HORECA</t>
        </is>
      </c>
      <c r="B5" s="58" t="n">
        <v>0.86</v>
      </c>
      <c r="C5" s="58" t="n">
        <v>0.9</v>
      </c>
      <c r="D5" s="6" t="inlineStr">
        <is>
          <t>Supuesto y meta académica del caso [3]</t>
        </is>
      </c>
    </row>
    <row r="6">
      <c r="A6" s="5" t="inlineStr">
        <is>
          <t>Churn (tasa de cancelación)</t>
        </is>
      </c>
      <c r="B6" s="59">
        <f>1-B5</f>
        <v/>
      </c>
      <c r="C6" s="59">
        <f>1-C5</f>
        <v/>
      </c>
      <c r="D6" s="6" t="inlineStr">
        <is>
          <t>1 − retención</t>
        </is>
      </c>
    </row>
    <row r="7">
      <c r="A7" s="5" t="inlineStr">
        <is>
          <t>Vida esperada del cliente (años)</t>
        </is>
      </c>
      <c r="B7" s="36">
        <f>1/B6</f>
        <v/>
      </c>
      <c r="C7" s="36">
        <f>1/C6</f>
        <v/>
      </c>
      <c r="D7" s="6" t="inlineStr">
        <is>
          <t>1 ÷ churn</t>
        </is>
      </c>
    </row>
    <row r="8">
      <c r="A8" s="5" t="inlineStr">
        <is>
          <t>Cambio del LTV a igual contribución anual</t>
        </is>
      </c>
      <c r="B8" s="59" t="inlineStr"/>
      <c r="C8" s="59">
        <f>C7/B7-1</f>
        <v/>
      </c>
      <c r="D8" s="6" t="inlineStr">
        <is>
          <t>LTV ≈ contribución anual × vida esperada</t>
        </is>
      </c>
    </row>
    <row r="9">
      <c r="A9" s="5" t="inlineStr">
        <is>
          <t>Salida trimestral equivalente (regla 95-5)</t>
        </is>
      </c>
      <c r="B9" s="59">
        <f>1-B5^(1/4)</f>
        <v/>
      </c>
      <c r="C9" s="59">
        <f>1-C5^(1/4)</f>
        <v/>
      </c>
      <c r="D9" s="6" t="inlineStr">
        <is>
          <t>1 − retención^(1/4): clientes que reconsideran proveedor cada trimestre</t>
        </is>
      </c>
    </row>
    <row r="10">
      <c r="A10" s="5" t="inlineStr">
        <is>
          <t>Conversión lead → cliente</t>
        </is>
      </c>
      <c r="B10" s="58" t="n">
        <v>0.12</v>
      </c>
      <c r="C10" s="58" t="n">
        <v>0.18</v>
      </c>
      <c r="D10" s="6" t="inlineStr">
        <is>
          <t>Supuesto y meta académica del caso [3]</t>
        </is>
      </c>
    </row>
    <row r="11">
      <c r="A11" s="5" t="inlineStr">
        <is>
          <t>Clientes por cada 100 leads</t>
        </is>
      </c>
      <c r="B11" s="36">
        <f>100*B10</f>
        <v/>
      </c>
      <c r="C11" s="36">
        <f>100*C10</f>
        <v/>
      </c>
      <c r="D11" s="6" t="inlineStr">
        <is>
          <t>100 × conversión</t>
        </is>
      </c>
    </row>
    <row r="12">
      <c r="A12" s="5" t="inlineStr">
        <is>
          <t>Cambio del CAC a igual costo por lead</t>
        </is>
      </c>
      <c r="B12" s="59" t="inlineStr"/>
      <c r="C12" s="59">
        <f>B10/C10-1</f>
        <v/>
      </c>
      <c r="D12" s="6" t="inlineStr">
        <is>
          <t>CAC = costo por lead ÷ conversión</t>
        </is>
      </c>
    </row>
    <row r="13">
      <c r="A13" s="5" t="inlineStr">
        <is>
          <t>Aumento de leads calificados</t>
        </is>
      </c>
      <c r="B13" s="58" t="n">
        <v>0</v>
      </c>
      <c r="C13" s="58" t="n">
        <v>0.25</v>
      </c>
      <c r="D13" s="6" t="inlineStr">
        <is>
          <t>Meta académica del caso [3]</t>
        </is>
      </c>
    </row>
    <row r="14">
      <c r="A14" s="5" t="inlineStr">
        <is>
          <t>Clientes nuevos (base 100 leads hoy)</t>
        </is>
      </c>
      <c r="B14" s="36">
        <f>100*(1+B13)*B10</f>
        <v/>
      </c>
      <c r="C14" s="36">
        <f>100*(1+C13)*C10</f>
        <v/>
      </c>
      <c r="D14" s="6" t="inlineStr">
        <is>
          <t>leads × conversión</t>
        </is>
      </c>
    </row>
    <row r="15">
      <c r="A15" s="5" t="inlineStr">
        <is>
          <t>NRR sin expansión (si el cliente perdido pesa como el promedio)</t>
        </is>
      </c>
      <c r="B15" s="59">
        <f>B5</f>
        <v/>
      </c>
      <c r="C15" s="59">
        <f>C5</f>
        <v/>
      </c>
      <c r="D15" s="6" t="inlineStr">
        <is>
          <t>≈ retención</t>
        </is>
      </c>
    </row>
    <row r="16">
      <c r="A16" s="5" t="inlineStr">
        <is>
          <t>Expansión necesaria para NRR = 100 %</t>
        </is>
      </c>
      <c r="B16" s="59">
        <f>1-B15</f>
        <v/>
      </c>
      <c r="C16" s="59">
        <f>1-C15</f>
        <v/>
      </c>
      <c r="D16" s="6" t="inlineStr">
        <is>
          <t>La deben aportar LM4 (ampliada), LM5 (frecuencia) y LM6 (servicios)</t>
        </is>
      </c>
    </row>
    <row r="17">
      <c r="A17" s="5" t="inlineStr">
        <is>
          <t>Reposición digital (% de reposiciones)</t>
        </is>
      </c>
      <c r="B17" s="58" t="n">
        <v>0.18</v>
      </c>
      <c r="C17" s="58" t="n">
        <v>0.4</v>
      </c>
      <c r="D17" s="6" t="inlineStr">
        <is>
          <t>Supuesto y meta académica del caso [3]</t>
        </is>
      </c>
    </row>
    <row r="18">
      <c r="A18" s="5" t="inlineStr">
        <is>
          <t>Contribución anual por cliente HORECA (CLP)</t>
        </is>
      </c>
      <c r="B18" s="60" t="n"/>
      <c r="C18" s="60" t="n"/>
      <c r="D18" s="6" t="inlineStr">
        <is>
          <t>Por levantar con finanzas (venta − costos variables, incluido despacho por zona)</t>
        </is>
      </c>
    </row>
    <row r="19">
      <c r="A19" s="5" t="inlineStr">
        <is>
          <t>LTV (CLP)</t>
        </is>
      </c>
      <c r="B19" s="61">
        <f>IF(ISNUMBER(B18),B18*B7,"por levantar")</f>
        <v/>
      </c>
      <c r="C19" s="61">
        <f>IF(ISNUMBER(C18),C18*C7,"por levantar")</f>
        <v/>
      </c>
      <c r="D19" s="6" t="inlineStr">
        <is>
          <t>Contribución anual × vida esperada</t>
        </is>
      </c>
    </row>
    <row r="20">
      <c r="A20" s="5" t="inlineStr">
        <is>
          <t>CAC (CLP)</t>
        </is>
      </c>
      <c r="B20" s="60" t="n"/>
      <c r="C20" s="60" t="n"/>
      <c r="D20" s="6" t="inlineStr">
        <is>
          <t>Por levantar: gasto de adquisición ÷ clientes nuevos atribuidos</t>
        </is>
      </c>
    </row>
    <row r="21">
      <c r="A21" s="5" t="inlineStr">
        <is>
          <t>LTV / CAC (veces)</t>
        </is>
      </c>
      <c r="B21" s="36">
        <f>IF(AND(ISNUMBER(B19),ISNUMBER(B20)),B19/B20,"por levantar")</f>
        <v/>
      </c>
      <c r="C21" s="36">
        <f>IF(AND(ISNUMBER(C19),ISNUMBER(C20)),C19/C20,"por levantar")</f>
        <v/>
      </c>
      <c r="D21" s="6" t="inlineStr">
        <is>
          <t>LTV ÷ CAC</t>
        </is>
      </c>
    </row>
    <row r="22">
      <c r="A22" s="7" t="inlineStr">
        <is>
          <t>Recupero de CAC (meses)</t>
        </is>
      </c>
      <c r="B22" s="40">
        <f>IF(AND(ISNUMBER(B18),ISNUMBER(B20)),B20/(B18/12),"por levantar")</f>
        <v/>
      </c>
      <c r="C22" s="40">
        <f>IF(AND(ISNUMBER(C18),ISNUMBER(C20)),C20/(C18/12),"por levantar")</f>
        <v/>
      </c>
      <c r="D22" s="8" t="inlineStr">
        <is>
          <t>CAC ÷ contribución mensual; considerar costos reales de equipo y servicio según la modalidad</t>
        </is>
      </c>
    </row>
    <row r="23"/>
    <row r="24">
      <c r="A24" s="20" t="inlineStr">
        <is>
          <t>Lectura: retener 86 % → 90 % alarga la vida del cliente de 7,1 a 10 años (+40 % de LTV a igual margen); convertir 12 % → 18 % baja el CAC 33 % a igual costo por lead. Los valores en pesos se completan en el piloto (celdas amarillas vacías).</t>
        </is>
      </c>
    </row>
  </sheetData>
  <mergeCells count="1"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G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38" customWidth="1" min="4" max="4"/>
    <col width="30" customWidth="1" min="5" max="5"/>
    <col width="34" customWidth="1" min="6" max="6"/>
    <col width="16" customWidth="1" min="7" max="7"/>
  </cols>
  <sheetData>
    <row r="1" ht="28" customHeight="1">
      <c r="A1" s="1" t="inlineStr">
        <is>
          <t>Integración: sistemas de Marley Coffee, contrato de llamadas y capa agéntica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Stack observado en la auditoría técnica del equipo (ago. 2026: VTEX IO, Mercado Pago/Webpay, Connectif, VTEX Message Center, GTM, GA4, Blue Express) y sistemas del caso [3]. En el MVP las llamadas se simulan y se ven en el CRM (R07).</t>
        </is>
      </c>
    </row>
    <row r="3"/>
    <row r="4" ht="30" customHeight="1">
      <c r="A4" s="4" t="inlineStr">
        <is>
          <t>Sistema</t>
        </is>
      </c>
      <c r="B4" s="4" t="inlineStr">
        <is>
          <t>Qué guarda o hace</t>
        </is>
      </c>
      <c r="C4" s="4" t="inlineStr">
        <is>
          <t>Evidencia</t>
        </is>
      </c>
      <c r="D4" s="4" t="inlineStr">
        <is>
          <t>Conexión</t>
        </is>
      </c>
      <c r="E4" s="4" t="inlineStr">
        <is>
          <t>Estado para el piloto</t>
        </is>
      </c>
      <c r="F4" s="4" t="inlineStr">
        <is>
          <t>Alternativa si no hay API</t>
        </is>
      </c>
    </row>
    <row r="5" ht="49" customHeight="1">
      <c r="A5" s="5" t="inlineStr">
        <is>
          <t>CRM Marley Coffee Empresas (propuesto)</t>
        </is>
      </c>
      <c r="B5" s="10" t="inlineStr">
        <is>
          <t>Contactos, conversaciones, puntajes, propuestas y agentes</t>
        </is>
      </c>
      <c r="C5" s="10" t="inlineStr">
        <is>
          <t>Prototipo del MVP (Anexo A)</t>
        </is>
      </c>
      <c r="D5" s="10" t="inlineStr">
        <is>
          <t>Capa de integración propia: REST + webhooks</t>
        </is>
      </c>
      <c r="E5" s="10" t="inlineStr">
        <is>
          <t>Demostración local; servidor, identidad e integración real pendientes</t>
        </is>
      </c>
      <c r="F5" s="6" t="inlineStr">
        <is>
          <t>—</t>
        </is>
      </c>
    </row>
    <row r="6" ht="62" customHeight="1">
      <c r="A6" s="5" t="inlineStr">
        <is>
          <t>VTEX IO (tienda actual)</t>
        </is>
      </c>
      <c r="B6" s="10" t="inlineStr">
        <is>
          <t>Catálogo, pedidos y logística; B2B Suite sujeto a habilitación</t>
        </is>
      </c>
      <c r="C6" s="10" t="inlineStr">
        <is>
          <t>Lectura del sitio 15-10-2026: generator VTEX y catálogo público HTTP 206; auditoría del equipo y VTEX Developers</t>
        </is>
      </c>
      <c r="D6" s="10" t="inlineStr">
        <is>
          <t>Catalog de lectura; Checkout para alta autorizada de pedidos; Orders Feed/Hook para estados; Logistics para inventario/cobertura</t>
        </is>
      </c>
      <c r="E6" s="10" t="inlineStr">
        <is>
          <t>Lectura de catálogo comprobada; acceso privado de escritura e inventario por validar</t>
        </is>
      </c>
      <c r="F6" s="6" t="inlineStr">
        <is>
          <t>Archivo programado (CSV/XLS) diario, como hoy envían datos los partners [3]</t>
        </is>
      </c>
    </row>
    <row r="7" ht="49" customHeight="1">
      <c r="A7" s="5" t="inlineStr">
        <is>
          <t>ERP de Marley Coffee</t>
        </is>
      </c>
      <c r="B7" s="10" t="inlineStr">
        <is>
          <t>Facturación, inventario, pedidos y datos maestros</t>
        </is>
      </c>
      <c r="C7" s="10" t="inlineStr">
        <is>
          <t>Caso: 95 %* de transacciones completas, sin identificar el punto físico</t>
        </is>
      </c>
      <c r="D7" s="10" t="inlineStr">
        <is>
          <t>API del ERP; si no existe, conector intermedio o archivo programado</t>
        </is>
      </c>
      <c r="E7" s="10" t="inlineStr">
        <is>
          <t>Marca y API no informadas: por confirmar</t>
        </is>
      </c>
      <c r="F7" s="6" t="inlineStr">
        <is>
          <t>Archivo programado (CSV/XLS) diario, como hoy envían datos los partners [3]</t>
        </is>
      </c>
    </row>
    <row r="8" ht="49" customHeight="1">
      <c r="A8" s="5" t="inlineStr">
        <is>
          <t>CRM comercial actual</t>
        </is>
      </c>
      <c r="B8" s="10" t="inlineStr">
        <is>
          <t>Cuentas B2B y oportunidades</t>
        </is>
      </c>
      <c r="C8" s="10" t="inlineStr">
        <is>
          <t>Caso: 65 %* de las cuentas; 40 %* de fichas completas</t>
        </is>
      </c>
      <c r="D8" s="10" t="inlineStr">
        <is>
          <t>Migración inicial y sincronización de cuentas</t>
        </is>
      </c>
      <c r="E8" s="10" t="inlineStr">
        <is>
          <t>Por confirmar</t>
        </is>
      </c>
      <c r="F8" s="6" t="inlineStr">
        <is>
          <t>Archivo programado (CSV/XLS) diario, como hoy envían datos los partners [3]</t>
        </is>
      </c>
    </row>
    <row r="9" ht="49" customHeight="1">
      <c r="A9" s="5" t="inlineStr">
        <is>
          <t>Atención e incidencias</t>
        </is>
      </c>
      <c r="B9" s="10" t="inlineStr">
        <is>
          <t>Fallas de máquina, soporte y postventa</t>
        </is>
      </c>
      <c r="C9" s="10" t="inlineStr">
        <is>
          <t>Caso académico; auditoría externa detectó Zendesk en agosto, sin validar operación o cuenta interna</t>
        </is>
      </c>
      <c r="D9" s="10" t="inlineStr">
        <is>
          <t>API/webhooks del sistema confirmado; Zendesk ofrece mecanismos documentados si corresponde</t>
        </is>
      </c>
      <c r="E9" s="10" t="inlineStr">
        <is>
          <t>Sistema y accesos internos por validar</t>
        </is>
      </c>
      <c r="F9" s="6" t="inlineStr">
        <is>
          <t>Archivo programado (CSV/XLS) diario, como hoy envían datos los partners [3]</t>
        </is>
      </c>
    </row>
    <row r="10" ht="62" customHeight="1">
      <c r="A10" s="5" t="inlineStr">
        <is>
          <t>Mercado Pago y Webpay</t>
        </is>
      </c>
      <c r="B10" s="10" t="inlineStr">
        <is>
          <t>Confirmación de transacción y conciliación</t>
        </is>
      </c>
      <c r="C10" s="10" t="inlineStr">
        <is>
          <t>Métodos reportados por la auditoría del equipo y documentación de proveedores; banner de Mercado Pago observado el 15-10-2026</t>
        </is>
      </c>
      <c r="D10" s="10" t="inlineStr">
        <is>
          <t>Reutilizar integración autorizada de VTEX; confirmar estado con proveedor/servidor antes de conciliar</t>
        </is>
      </c>
      <c r="E10" s="10" t="inlineStr">
        <is>
          <t>Medios identificados por diagnóstico externo; configuración privada y acceso por confirmar</t>
        </is>
      </c>
      <c r="F10" s="6" t="inlineStr">
        <is>
          <t>—</t>
        </is>
      </c>
    </row>
    <row r="11" ht="49" customHeight="1">
      <c r="A11" s="5" t="inlineStr">
        <is>
          <t>Facturación desde el ERP</t>
        </is>
      </c>
      <c r="B11" s="10" t="inlineStr">
        <is>
          <t>Factura y documentos de despacho</t>
        </is>
      </c>
      <c r="C11" s="10" t="inlineStr">
        <is>
          <t>Facturación indicada en el caso; referencia normativa SII no acredita una integración específica</t>
        </is>
      </c>
      <c r="D11" s="10" t="inlineStr">
        <is>
          <t>ERP o proveedor de facturación confirmado por Marley</t>
        </is>
      </c>
      <c r="E11" s="10" t="inlineStr">
        <is>
          <t>Emisión desde ERP o proveedor habilitado por confirmar; no se probó acceso</t>
        </is>
      </c>
      <c r="F11" s="6" t="inlineStr">
        <is>
          <t>—</t>
        </is>
      </c>
    </row>
    <row r="12" ht="62" customHeight="1">
      <c r="A12" s="5" t="inlineStr">
        <is>
          <t>Rutas propias y transporte por definir</t>
        </is>
      </c>
      <c r="B12" s="10" t="inlineStr">
        <is>
          <t>Despacho y seguimiento</t>
        </is>
      </c>
      <c r="C12" s="10" t="inlineStr">
        <is>
          <t>Diseño previo del MVP; no acreditado como operador por la detección externa de «Blue»</t>
        </is>
      </c>
      <c r="D12" s="10" t="inlineStr">
        <is>
          <t>Proveedor y contrato por validar; Blue Express es una alternativa documentada, no una integración probada de Marley</t>
        </is>
      </c>
      <c r="E12" s="10" t="inlineStr">
        <is>
          <t>Operador y contrato por confirmar; detección externa de «Blue» no identifica Blue Express</t>
        </is>
      </c>
      <c r="F12" s="6" t="inlineStr">
        <is>
          <t>Archivo programado (CSV/XLS) diario, como hoy envían datos los partners [3]</t>
        </is>
      </c>
    </row>
    <row r="13" ht="49" customHeight="1">
      <c r="A13" s="5" t="inlineStr">
        <is>
          <t>Connectif</t>
        </is>
      </c>
      <c r="B13" s="10" t="inlineStr">
        <is>
          <t>Automatización, contactos y personalización</t>
        </is>
      </c>
      <c r="C13" s="10" t="inlineStr">
        <is>
          <t>Pixel connectif.connectif presente en el HTML consultado el 15-10-2026; auditoría 27-08-2026</t>
        </is>
      </c>
      <c r="D13" s="10" t="inlineStr">
        <is>
          <t>API de contactos, compras, productos y eventos personalizados documentada</t>
        </is>
      </c>
      <c r="E13" s="10" t="inlineStr">
        <is>
          <t>Recurso público observado; cuenta, permisos y automatizaciones por validar</t>
        </is>
      </c>
      <c r="F13" s="6" t="inlineStr">
        <is>
          <t>Archivo programado (CSV/XLS) diario, como hoy envían datos los partners [3]</t>
        </is>
      </c>
    </row>
    <row r="14" ht="62" customHeight="1">
      <c r="A14" s="5" t="inlineStr">
        <is>
          <t>Google Tag Manager y GA4</t>
        </is>
      </c>
      <c r="B14" s="10" t="inlineStr">
        <is>
          <t>Eventos, origen y medición del recorrido</t>
        </is>
      </c>
      <c r="C14" s="10" t="inlineStr">
        <is>
          <t>GTM y configuración sendGA4EventsValue visibles el 15-10-2026; auditoría externa de agosto</t>
        </is>
      </c>
      <c r="D14" s="10" t="inlineStr">
        <is>
          <t>dataLayer y Measurement Protocol desde servidor; eventos y consentimiento por validar en propiedad</t>
        </is>
      </c>
      <c r="E14" s="10" t="inlineStr">
        <is>
          <t>GTM/configuración pública observada; propiedad, permisos y recepción real de eventos por validar</t>
        </is>
      </c>
      <c r="F14" s="6" t="inlineStr">
        <is>
          <t>—</t>
        </is>
      </c>
    </row>
    <row r="15" ht="62" customHeight="1">
      <c r="A15" s="7" t="inlineStr">
        <is>
          <t>Correo, WhatsApp, chat y teléfono</t>
        </is>
      </c>
      <c r="B15" s="14" t="inlineStr">
        <is>
          <t>Continuidad documental y conversacional</t>
        </is>
      </c>
      <c r="C15" s="14" t="inlineStr">
        <is>
          <t>Message Center para eventos de pedidos; política de WhatsApp y APIs de Connectif documentadas</t>
        </is>
      </c>
      <c r="D15" s="14" t="inlineStr">
        <is>
          <t>W1/W4 mediante Connectif u orquestación; WhatsApp mediante plataforma oficial; Message Center no prueba nutrición comercial</t>
        </is>
      </c>
      <c r="E15" s="14" t="inlineStr">
        <is>
          <t>Flujos locales demostrables; remitente, número, permisos y proveedores pendientes</t>
        </is>
      </c>
      <c r="F15" s="8" t="inlineStr">
        <is>
          <t>Archivo programado (CSV/XLS) diario, como hoy envían datos los partners [3]</t>
        </is>
      </c>
    </row>
    <row r="16" ht="23" customHeight="1"/>
    <row r="17" ht="62" customHeight="1">
      <c r="A17" s="50" t="inlineStr">
        <is>
          <t>Contrato de la capa de integración: cada acción de un agente es una llamada a un sistema</t>
        </is>
      </c>
    </row>
    <row r="18" ht="30" customHeight="1">
      <c r="A18" s="4" t="inlineStr">
        <is>
          <t>Acción del agente</t>
        </is>
      </c>
      <c r="B18" s="4" t="inlineStr">
        <is>
          <t>Método</t>
        </is>
      </c>
      <c r="C18" s="4" t="inlineStr">
        <is>
          <t>Endpoint propio</t>
        </is>
      </c>
      <c r="D18" s="4" t="inlineStr">
        <is>
          <t>Sistema destino</t>
        </is>
      </c>
      <c r="E18" s="4" t="inlineStr">
        <is>
          <t>Qué hace / API del sistema</t>
        </is>
      </c>
      <c r="F18" s="4" t="inlineStr">
        <is>
          <t>Decide una persona</t>
        </is>
      </c>
    </row>
    <row r="19" ht="49" customHeight="1">
      <c r="A19" s="5" t="inlineStr">
        <is>
          <t>Registrar origen</t>
        </is>
      </c>
      <c r="B19" s="10" t="inlineStr">
        <is>
          <t>POST</t>
        </is>
      </c>
      <c r="C19" s="10" t="inlineStr">
        <is>
          <t>/v1/contactos/{id}/eventos</t>
        </is>
      </c>
      <c r="D19" s="10" t="inlineStr">
        <is>
          <t>Google Tag Manager y GA4</t>
        </is>
      </c>
      <c r="E19" s="10" t="inlineStr">
        <is>
          <t>Evento con UTM al CRM y a GA4</t>
        </is>
      </c>
      <c r="F19" s="6" t="inlineStr">
        <is>
          <t>Según permiso y regla; operaciones críticas requieren aprobación</t>
        </is>
      </c>
    </row>
    <row r="20" ht="49" customHeight="1">
      <c r="A20" s="5" t="inlineStr">
        <is>
          <t>Puntaje +</t>
        </is>
      </c>
      <c r="B20" s="10" t="inlineStr">
        <is>
          <t>PATCH</t>
        </is>
      </c>
      <c r="C20" s="10" t="inlineStr">
        <is>
          <t>/v1/contactos/{id}/puntaje</t>
        </is>
      </c>
      <c r="D20" s="10" t="inlineStr">
        <is>
          <t>CRM Marley Coffee Empresas (propuesto)</t>
        </is>
      </c>
      <c r="E20" s="10" t="inlineStr">
        <is>
          <t>Suma el evento al Engagement Score</t>
        </is>
      </c>
      <c r="F20" s="6" t="inlineStr">
        <is>
          <t>Según permiso y regla; operaciones críticas requieren aprobación</t>
        </is>
      </c>
    </row>
    <row r="21" ht="49" customHeight="1">
      <c r="A21" s="5" t="inlineStr">
        <is>
          <t>Enviar correo de bienvenida</t>
        </is>
      </c>
      <c r="B21" s="10" t="inlineStr">
        <is>
          <t>POST</t>
        </is>
      </c>
      <c r="C21" s="10" t="inlineStr">
        <is>
          <t>/v1/mensajes/correo</t>
        </is>
      </c>
      <c r="D21" s="10" t="inlineStr">
        <is>
          <t>Correo, WhatsApp, chat y teléfono</t>
        </is>
      </c>
      <c r="E21" s="10" t="inlineStr">
        <is>
          <t>Plantilla de bienvenida con N.º de seguimiento</t>
        </is>
      </c>
      <c r="F21" s="6" t="inlineStr">
        <is>
          <t>Según permiso y regla; operaciones críticas requieren aprobación</t>
        </is>
      </c>
    </row>
    <row r="22" ht="49" customHeight="1">
      <c r="A22" s="5" t="inlineStr">
        <is>
          <t>Enviar acuse por correo</t>
        </is>
      </c>
      <c r="B22" s="10" t="inlineStr">
        <is>
          <t>POST</t>
        </is>
      </c>
      <c r="C22" s="10" t="inlineStr">
        <is>
          <t>/v1/mensajes/correo</t>
        </is>
      </c>
      <c r="D22" s="10" t="inlineStr">
        <is>
          <t>Correo, WhatsApp, chat y teléfono</t>
        </is>
      </c>
      <c r="E22" s="10" t="inlineStr">
        <is>
          <t>Acuse con la ejecutiva asignada</t>
        </is>
      </c>
      <c r="F22" s="6" t="inlineStr">
        <is>
          <t>Según permiso y regla; operaciones críticas requieren aprobación</t>
        </is>
      </c>
    </row>
    <row r="23" ht="49" customHeight="1">
      <c r="A23" s="5" t="inlineStr">
        <is>
          <t>Leer diagnóstico</t>
        </is>
      </c>
      <c r="B23" s="10" t="inlineStr">
        <is>
          <t>GET</t>
        </is>
      </c>
      <c r="C23" s="10" t="inlineStr">
        <is>
          <t>/v1/contactos/{id}/diagnostico</t>
        </is>
      </c>
      <c r="D23" s="10" t="inlineStr">
        <is>
          <t>CRM Marley Coffee Empresas (propuesto)</t>
        </is>
      </c>
      <c r="E23" s="10" t="inlineStr">
        <is>
          <t>Respuestas del diagnóstico de 3 pasos</t>
        </is>
      </c>
      <c r="F23" s="6" t="inlineStr">
        <is>
          <t>Según permiso y regla; operaciones críticas requieren aprobación</t>
        </is>
      </c>
    </row>
    <row r="24" ht="49" customHeight="1">
      <c r="A24" s="5" t="inlineStr">
        <is>
          <t>Asignar ejecutiva de zona</t>
        </is>
      </c>
      <c r="B24" s="10" t="inlineStr">
        <is>
          <t>PATCH</t>
        </is>
      </c>
      <c r="C24" s="10" t="inlineStr">
        <is>
          <t>/v1/contactos/{id}/asignacion</t>
        </is>
      </c>
      <c r="D24" s="10" t="inlineStr">
        <is>
          <t>CRM comercial actual</t>
        </is>
      </c>
      <c r="E24" s="10" t="inlineStr">
        <is>
          <t>Ejecutiva por comuna; se sincroniza con el CRM comercial</t>
        </is>
      </c>
      <c r="F24" s="6" t="inlineStr">
        <is>
          <t>Según permiso y regla; operaciones críticas requieren aprobación</t>
        </is>
      </c>
    </row>
    <row r="25" ht="49" customHeight="1">
      <c r="A25" s="5" t="inlineStr">
        <is>
          <t>Consultar ruta de despacho</t>
        </is>
      </c>
      <c r="B25" s="10" t="inlineStr">
        <is>
          <t>GET</t>
        </is>
      </c>
      <c r="C25" s="10" t="inlineStr">
        <is>
          <t>/v1/logistica/cobertura?comuna=</t>
        </is>
      </c>
      <c r="D25" s="10" t="inlineStr">
        <is>
          <t>VTEX IO (tienda actual)</t>
        </is>
      </c>
      <c r="E25" s="10" t="inlineStr">
        <is>
          <t>VTEX Logistics API: transportistas y cobertura</t>
        </is>
      </c>
      <c r="F25" s="6" t="inlineStr">
        <is>
          <t>Según permiso y regla; operaciones críticas requieren aprobación</t>
        </is>
      </c>
    </row>
    <row r="26" ht="49" customHeight="1">
      <c r="A26" s="5" t="inlineStr">
        <is>
          <t>Estimar consumo</t>
        </is>
      </c>
      <c r="B26" s="10" t="inlineStr">
        <is>
          <t>GET</t>
        </is>
      </c>
      <c r="C26" s="10" t="inlineStr">
        <is>
          <t>/v1/contactos/{id}/diagnostico</t>
        </is>
      </c>
      <c r="D26" s="10" t="inlineStr">
        <is>
          <t>CRM Marley Coffee Empresas (propuesto)</t>
        </is>
      </c>
      <c r="E26" s="10" t="inlineStr">
        <is>
          <t>Volumen declarado</t>
        </is>
      </c>
      <c r="F26" s="6" t="inlineStr">
        <is>
          <t>Según permiso y regla; operaciones críticas requieren aprobación</t>
        </is>
      </c>
    </row>
    <row r="27" ht="49" customHeight="1">
      <c r="A27" s="5" t="inlineStr">
        <is>
          <t>Elegir formato</t>
        </is>
      </c>
      <c r="B27" s="10" t="inlineStr">
        <is>
          <t>GET</t>
        </is>
      </c>
      <c r="C27" s="10" t="inlineStr">
        <is>
          <t>/v1/catalogo?formato=</t>
        </is>
      </c>
      <c r="D27" s="10" t="inlineStr">
        <is>
          <t>VTEX IO (tienda actual)</t>
        </is>
      </c>
      <c r="E27" s="10" t="inlineStr">
        <is>
          <t>VTEX Catalog API: productos oficiales</t>
        </is>
      </c>
      <c r="F27" s="6" t="inlineStr">
        <is>
          <t>Según permiso y regla; operaciones críticas requieren aprobación</t>
        </is>
      </c>
    </row>
    <row r="28" ht="49" customHeight="1">
      <c r="A28" s="5" t="inlineStr">
        <is>
          <t>Pedir revisión de stock</t>
        </is>
      </c>
      <c r="B28" s="10" t="inlineStr">
        <is>
          <t>GET</t>
        </is>
      </c>
      <c r="C28" s="10" t="inlineStr">
        <is>
          <t>/v1/inventario?sku=</t>
        </is>
      </c>
      <c r="D28" s="10" t="inlineStr">
        <is>
          <t>VTEX IO (tienda actual)</t>
        </is>
      </c>
      <c r="E28" s="10" t="inlineStr">
        <is>
          <t>VTEX Logistics API: inventario por SKU</t>
        </is>
      </c>
      <c r="F28" s="6" t="inlineStr">
        <is>
          <t>Según permiso y regla; operaciones críticas requieren aprobación</t>
        </is>
      </c>
    </row>
    <row r="29" ht="49" customHeight="1">
      <c r="A29" s="5" t="inlineStr">
        <is>
          <t>Consultar inventario</t>
        </is>
      </c>
      <c r="B29" s="10" t="inlineStr">
        <is>
          <t>GET</t>
        </is>
      </c>
      <c r="C29" s="10" t="inlineStr">
        <is>
          <t>/v1/inventario?sku=</t>
        </is>
      </c>
      <c r="D29" s="10" t="inlineStr">
        <is>
          <t>VTEX IO (tienda actual)</t>
        </is>
      </c>
      <c r="E29" s="10" t="inlineStr">
        <is>
          <t>VTEX Logistics API: inventario por SKU; ERP como respaldo</t>
        </is>
      </c>
      <c r="F29" s="6" t="inlineStr">
        <is>
          <t>Según permiso y regla; operaciones críticas requieren aprobación</t>
        </is>
      </c>
    </row>
    <row r="30" ht="49" customHeight="1">
      <c r="A30" s="5" t="inlineStr">
        <is>
          <t>Marcar MQL</t>
        </is>
      </c>
      <c r="B30" s="10" t="inlineStr">
        <is>
          <t>PATCH</t>
        </is>
      </c>
      <c r="C30" s="10" t="inlineStr">
        <is>
          <t>/v1/contactos/{id}/etapa</t>
        </is>
      </c>
      <c r="D30" s="10" t="inlineStr">
        <is>
          <t>CRM Marley Coffee Empresas (propuesto)</t>
        </is>
      </c>
      <c r="E30" s="10" t="inlineStr">
        <is>
          <t>Etapa MQL</t>
        </is>
      </c>
      <c r="F30" s="6" t="inlineStr">
        <is>
          <t>Según permiso y regla; operaciones críticas requieren aprobación</t>
        </is>
      </c>
    </row>
    <row r="31" ht="49" customHeight="1">
      <c r="A31" s="5" t="inlineStr">
        <is>
          <t>Abrir chat en el portal</t>
        </is>
      </c>
      <c r="B31" s="10" t="inlineStr">
        <is>
          <t>POST</t>
        </is>
      </c>
      <c r="C31" s="10" t="inlineStr">
        <is>
          <t>/v1/conversaciones</t>
        </is>
      </c>
      <c r="D31" s="10" t="inlineStr">
        <is>
          <t>Correo, WhatsApp, chat y teléfono</t>
        </is>
      </c>
      <c r="E31" s="10" t="inlineStr">
        <is>
          <t>Conversación con bot de bienvenida</t>
        </is>
      </c>
      <c r="F31" s="6" t="inlineStr">
        <is>
          <t>Según permiso y regla; operaciones críticas requieren aprobación</t>
        </is>
      </c>
    </row>
    <row r="32" ht="49" customHeight="1">
      <c r="A32" s="5" t="inlineStr">
        <is>
          <t>Encolar llamada</t>
        </is>
      </c>
      <c r="B32" s="10" t="inlineStr">
        <is>
          <t>POST</t>
        </is>
      </c>
      <c r="C32" s="10" t="inlineStr">
        <is>
          <t>/v1/llamadas/cola</t>
        </is>
      </c>
      <c r="D32" s="10" t="inlineStr">
        <is>
          <t>Correo, WhatsApp, chat y teléfono</t>
        </is>
      </c>
      <c r="E32" s="10" t="inlineStr">
        <is>
          <t>Cola de la ejecutiva de la zona</t>
        </is>
      </c>
      <c r="F32" s="6" t="inlineStr">
        <is>
          <t>Según permiso y regla; operaciones críticas requieren aprobación</t>
        </is>
      </c>
    </row>
    <row r="33" ht="49" customHeight="1">
      <c r="A33" s="5" t="inlineStr">
        <is>
          <t>Programar recordatorio</t>
        </is>
      </c>
      <c r="B33" s="10" t="inlineStr">
        <is>
          <t>POST</t>
        </is>
      </c>
      <c r="C33" s="10" t="inlineStr">
        <is>
          <t>/v1/secuencias</t>
        </is>
      </c>
      <c r="D33" s="10" t="inlineStr">
        <is>
          <t>CRM Marley Coffee Empresas (propuesto)</t>
        </is>
      </c>
      <c r="E33" s="10" t="inlineStr">
        <is>
          <t>W4: «Retoma tu solución» a las 24 h</t>
        </is>
      </c>
      <c r="F33" s="6" t="inlineStr">
        <is>
          <t>Según permiso y regla; operaciones críticas requieren aprobación</t>
        </is>
      </c>
    </row>
    <row r="34" ht="49" customHeight="1">
      <c r="A34" s="5" t="inlineStr">
        <is>
          <t>Registrar llamada</t>
        </is>
      </c>
      <c r="B34" s="10" t="inlineStr">
        <is>
          <t>POST</t>
        </is>
      </c>
      <c r="C34" s="10" t="inlineStr">
        <is>
          <t>/v1/actividades</t>
        </is>
      </c>
      <c r="D34" s="10" t="inlineStr">
        <is>
          <t>CRM Marley Coffee Empresas (propuesto)</t>
        </is>
      </c>
      <c r="E34" s="10" t="inlineStr">
        <is>
          <t>Resultado de la llamada</t>
        </is>
      </c>
      <c r="F34" s="6" t="inlineStr">
        <is>
          <t>Según permiso y regla; operaciones críticas requieren aprobación</t>
        </is>
      </c>
    </row>
    <row r="35" ht="49" customHeight="1">
      <c r="A35" s="5" t="inlineStr">
        <is>
          <t>Armar propuesta</t>
        </is>
      </c>
      <c r="B35" s="10" t="inlineStr">
        <is>
          <t>POST</t>
        </is>
      </c>
      <c r="C35" s="10" t="inlineStr">
        <is>
          <t>/v1/propuestas</t>
        </is>
      </c>
      <c r="D35" s="10" t="inlineStr">
        <is>
          <t>VTEX IO (tienda actual)</t>
        </is>
      </c>
      <c r="E35" s="10" t="inlineStr">
        <is>
          <t>El agente de ventas arma la propuesta al instante con VTEX Catalog API y stock</t>
        </is>
      </c>
      <c r="F35" s="6" t="inlineStr">
        <is>
          <t>Según permiso y regla; operaciones críticas requieren aprobación</t>
        </is>
      </c>
    </row>
    <row r="36" ht="36" customHeight="1">
      <c r="A36" s="5" t="inlineStr">
        <is>
          <t>Enviar propuesta</t>
        </is>
      </c>
      <c r="B36" s="10" t="inlineStr">
        <is>
          <t>POST</t>
        </is>
      </c>
      <c r="C36" s="10" t="inlineStr">
        <is>
          <t>/v1/propuestas/{id}/envio</t>
        </is>
      </c>
      <c r="D36" s="10" t="inlineStr">
        <is>
          <t>CRM Marley Coffee Empresas (propuesto)</t>
        </is>
      </c>
      <c r="E36" s="10" t="inlineStr">
        <is>
          <t>Propuesta al portal o por correo</t>
        </is>
      </c>
      <c r="F36" s="6" t="inlineStr">
        <is>
          <t>Sí</t>
        </is>
      </c>
    </row>
    <row r="37" ht="49" customHeight="1">
      <c r="A37" s="5" t="inlineStr">
        <is>
          <t>Reservar stock</t>
        </is>
      </c>
      <c r="B37" s="10" t="inlineStr">
        <is>
          <t>POST</t>
        </is>
      </c>
      <c r="C37" s="10" t="inlineStr">
        <is>
          <t>/v1/reservas</t>
        </is>
      </c>
      <c r="D37" s="10" t="inlineStr">
        <is>
          <t>VTEX IO (tienda actual)</t>
        </is>
      </c>
      <c r="E37" s="10" t="inlineStr">
        <is>
          <t>Reserva de inventario (VTEX Logistics); ERP como respaldo</t>
        </is>
      </c>
      <c r="F37" s="6" t="inlineStr">
        <is>
          <t>Sí</t>
        </is>
      </c>
    </row>
    <row r="38" ht="49" customHeight="1">
      <c r="A38" s="5" t="inlineStr">
        <is>
          <t>Crear cuenta B2B</t>
        </is>
      </c>
      <c r="B38" s="10" t="inlineStr">
        <is>
          <t>POST</t>
        </is>
      </c>
      <c r="C38" s="10" t="inlineStr">
        <is>
          <t>/v1/clientes</t>
        </is>
      </c>
      <c r="D38" s="10" t="inlineStr">
        <is>
          <t>VTEX IO (tienda actual)</t>
        </is>
      </c>
      <c r="E38" s="10" t="inlineStr">
        <is>
          <t>Organización B2B en VTEX (RUT, giro, sucursal, medios de pago) y maestro del ERP</t>
        </is>
      </c>
      <c r="F38" s="6" t="inlineStr">
        <is>
          <t>Sí</t>
        </is>
      </c>
    </row>
    <row r="39" ht="36" customHeight="1">
      <c r="A39" s="5" t="inlineStr">
        <is>
          <t>Agendar despacho</t>
        </is>
      </c>
      <c r="B39" s="10" t="inlineStr">
        <is>
          <t>POST</t>
        </is>
      </c>
      <c r="C39" s="10" t="inlineStr">
        <is>
          <t>/v1/despachos</t>
        </is>
      </c>
      <c r="D39" s="10" t="inlineStr">
        <is>
          <t>Rutas propias y transporte por definir</t>
        </is>
      </c>
      <c r="E39" s="10" t="inlineStr">
        <is>
          <t>Ruta propia o Blue Express</t>
        </is>
      </c>
      <c r="F39" s="6" t="inlineStr">
        <is>
          <t>Sí</t>
        </is>
      </c>
    </row>
    <row r="40" ht="36" customHeight="1">
      <c r="A40" s="5" t="inlineStr">
        <is>
          <t>Pedir aceptación humana</t>
        </is>
      </c>
      <c r="B40" s="10" t="inlineStr">
        <is>
          <t>POST</t>
        </is>
      </c>
      <c r="C40" s="10" t="inlineStr">
        <is>
          <t>/v1/aprobaciones</t>
        </is>
      </c>
      <c r="D40" s="10" t="inlineStr">
        <is>
          <t>CRM Marley Coffee Empresas (propuesto)</t>
        </is>
      </c>
      <c r="E40" s="10" t="inlineStr">
        <is>
          <t>Tarea para la persona que decide</t>
        </is>
      </c>
      <c r="F40" s="6" t="inlineStr">
        <is>
          <t>Sí</t>
        </is>
      </c>
    </row>
    <row r="41" ht="36" customHeight="1">
      <c r="A41" s="5" t="inlineStr">
        <is>
          <t>SQL aceptado</t>
        </is>
      </c>
      <c r="B41" s="10" t="inlineStr">
        <is>
          <t>POST</t>
        </is>
      </c>
      <c r="C41" s="10" t="inlineStr">
        <is>
          <t>/v1/oportunidades</t>
        </is>
      </c>
      <c r="D41" s="10" t="inlineStr">
        <is>
          <t>CRM comercial actual</t>
        </is>
      </c>
      <c r="E41" s="10" t="inlineStr">
        <is>
          <t>Oportunidad en el CRM comercial</t>
        </is>
      </c>
      <c r="F41" s="6" t="inlineStr">
        <is>
          <t>Sí</t>
        </is>
      </c>
    </row>
    <row r="42" ht="101" customHeight="1">
      <c r="A42" s="5" t="inlineStr">
        <is>
          <t>Crear pedido de reposición</t>
        </is>
      </c>
      <c r="B42" s="10" t="inlineStr">
        <is>
          <t>POST</t>
        </is>
      </c>
      <c r="C42" s="10" t="inlineStr">
        <is>
          <t>/v1/pedidos</t>
        </is>
      </c>
      <c r="D42" s="10" t="inlineStr">
        <is>
          <t>VTEX IO (tienda actual)</t>
        </is>
      </c>
      <c r="E42" s="10" t="inlineStr">
        <is>
          <t>Contrato propio propuesto: Checkout valida la reposición y el flujo autorizado confirma; Orders consulta estado y Feed/Hook lleva el cambio al ERP. Accesos por habilitar.</t>
        </is>
      </c>
      <c r="F42" s="6" t="inlineStr">
        <is>
          <t>Sí: cliente confirma</t>
        </is>
      </c>
    </row>
    <row r="43" ht="49" customHeight="1">
      <c r="A43" s="5" t="inlineStr">
        <is>
          <t>Factura electrónica</t>
        </is>
      </c>
      <c r="B43" s="10" t="inlineStr">
        <is>
          <t>POST</t>
        </is>
      </c>
      <c r="C43" s="10" t="inlineStr">
        <is>
          <t>/v1/facturas</t>
        </is>
      </c>
      <c r="D43" s="10" t="inlineStr">
        <is>
          <t>Facturación desde el ERP</t>
        </is>
      </c>
      <c r="E43" s="10" t="inlineStr">
        <is>
          <t>ERP emite la factura electrónica (DTE) al despachar</t>
        </is>
      </c>
      <c r="F43" s="6" t="inlineStr">
        <is>
          <t>Según permiso y regla; operaciones críticas requieren aprobación</t>
        </is>
      </c>
    </row>
    <row r="44" ht="49" customHeight="1">
      <c r="A44" s="5" t="inlineStr">
        <is>
          <t>Registrar interés LM4</t>
        </is>
      </c>
      <c r="B44" s="10" t="inlineStr">
        <is>
          <t>PATCH</t>
        </is>
      </c>
      <c r="C44" s="10" t="inlineStr">
        <is>
          <t>/v1/contactos/{id}/intereses</t>
        </is>
      </c>
      <c r="D44" s="10" t="inlineStr">
        <is>
          <t>CRM Marley Coffee Empresas (propuesto)</t>
        </is>
      </c>
      <c r="E44" s="10" t="inlineStr">
        <is>
          <t>Lo que quiere sumar a la ampliada</t>
        </is>
      </c>
      <c r="F44" s="6" t="inlineStr">
        <is>
          <t>Según permiso y regla; operaciones críticas requieren aprobación</t>
        </is>
      </c>
    </row>
    <row r="45" ht="49" customHeight="1">
      <c r="A45" s="5" t="inlineStr">
        <is>
          <t>Programar aviso de reposición</t>
        </is>
      </c>
      <c r="B45" s="10" t="inlineStr">
        <is>
          <t>POST</t>
        </is>
      </c>
      <c r="C45" s="10" t="inlineStr">
        <is>
          <t>/v1/secuencias</t>
        </is>
      </c>
      <c r="D45" s="10" t="inlineStr">
        <is>
          <t>CRM Marley Coffee Empresas (propuesto)</t>
        </is>
      </c>
      <c r="E45" s="10" t="inlineStr">
        <is>
          <t>W7: aviso 2 días antes de su fecha</t>
        </is>
      </c>
      <c r="F45" s="6" t="inlineStr">
        <is>
          <t>Según permiso y regla; operaciones críticas requieren aprobación</t>
        </is>
      </c>
    </row>
    <row r="46" ht="36" customHeight="1">
      <c r="A46" s="5" t="inlineStr">
        <is>
          <t>Crear oportunidad de expansión</t>
        </is>
      </c>
      <c r="B46" s="10" t="inlineStr">
        <is>
          <t>POST</t>
        </is>
      </c>
      <c r="C46" s="10" t="inlineStr">
        <is>
          <t>/v1/oportunidades</t>
        </is>
      </c>
      <c r="D46" s="10" t="inlineStr">
        <is>
          <t>CRM comercial actual</t>
        </is>
      </c>
      <c r="E46" s="10" t="inlineStr">
        <is>
          <t>Servicio para escalar (LM6)</t>
        </is>
      </c>
      <c r="F46" s="6" t="inlineStr">
        <is>
          <t>Sí</t>
        </is>
      </c>
    </row>
    <row r="47" ht="49" customHeight="1">
      <c r="A47" s="5" t="inlineStr">
        <is>
          <t>Registrar referido</t>
        </is>
      </c>
      <c r="B47" s="10" t="inlineStr">
        <is>
          <t>POST</t>
        </is>
      </c>
      <c r="C47" s="10" t="inlineStr">
        <is>
          <t>/v1/referidos</t>
        </is>
      </c>
      <c r="D47" s="10" t="inlineStr">
        <is>
          <t>CRM Marley Coffee Empresas (propuesto)</t>
        </is>
      </c>
      <c r="E47" s="10" t="inlineStr">
        <is>
          <t>Código y origen «Referido»</t>
        </is>
      </c>
      <c r="F47" s="6" t="inlineStr">
        <is>
          <t>Según permiso y regla; operaciones críticas requieren aprobación</t>
        </is>
      </c>
    </row>
    <row r="48" ht="49" customHeight="1">
      <c r="A48" s="5" t="inlineStr">
        <is>
          <t>Leer frecuencia de compra</t>
        </is>
      </c>
      <c r="B48" s="10" t="inlineStr">
        <is>
          <t>GET</t>
        </is>
      </c>
      <c r="C48" s="10" t="inlineStr">
        <is>
          <t>/v1/pedidos?cliente=</t>
        </is>
      </c>
      <c r="D48" s="10" t="inlineStr">
        <is>
          <t>ERP de Marley Coffee</t>
        </is>
      </c>
      <c r="E48" s="10" t="inlineStr">
        <is>
          <t>Historial de pedidos (ERP / VTEX Orders)</t>
        </is>
      </c>
      <c r="F48" s="6" t="inlineStr">
        <is>
          <t>Según permiso y regla; operaciones críticas requieren aprobación</t>
        </is>
      </c>
    </row>
    <row r="49" ht="49" customHeight="1">
      <c r="A49" s="5" t="inlineStr">
        <is>
          <t>Atribuir campaña</t>
        </is>
      </c>
      <c r="B49" s="10" t="inlineStr">
        <is>
          <t>GET</t>
        </is>
      </c>
      <c r="C49" s="10" t="inlineStr">
        <is>
          <t>/v1/atribucion?campana=</t>
        </is>
      </c>
      <c r="D49" s="10" t="inlineStr">
        <is>
          <t>Google Tag Manager y GA4</t>
        </is>
      </c>
      <c r="E49" s="10" t="inlineStr">
        <is>
          <t>Origen y campaña desde GA4</t>
        </is>
      </c>
      <c r="F49" s="6" t="inlineStr">
        <is>
          <t>Según permiso y regla; operaciones críticas requieren aprobación</t>
        </is>
      </c>
    </row>
    <row r="50" ht="49" customHeight="1">
      <c r="A50" s="5" t="inlineStr">
        <is>
          <t>Reasignar si hay espera</t>
        </is>
      </c>
      <c r="B50" s="10" t="inlineStr">
        <is>
          <t>PATCH</t>
        </is>
      </c>
      <c r="C50" s="10" t="inlineStr">
        <is>
          <t>/v1/conversaciones/{id}/asignacion</t>
        </is>
      </c>
      <c r="D50" s="10" t="inlineStr">
        <is>
          <t>CRM Marley Coffee Empresas (propuesto)</t>
        </is>
      </c>
      <c r="E50" s="10" t="inlineStr">
        <is>
          <t>Otra ejecutiva disponible</t>
        </is>
      </c>
      <c r="F50" s="6" t="inlineStr">
        <is>
          <t>Según permiso y regla; operaciones críticas requieren aprobación</t>
        </is>
      </c>
    </row>
    <row r="51" ht="36" customHeight="1">
      <c r="A51" s="7" t="inlineStr">
        <is>
          <t>Proponer referido</t>
        </is>
      </c>
      <c r="B51" s="14" t="inlineStr">
        <is>
          <t>POST</t>
        </is>
      </c>
      <c r="C51" s="14" t="inlineStr">
        <is>
          <t>/v1/aprobaciones</t>
        </is>
      </c>
      <c r="D51" s="14" t="inlineStr">
        <is>
          <t>CRM Marley Coffee Empresas (propuesto)</t>
        </is>
      </c>
      <c r="E51" s="14" t="inlineStr">
        <is>
          <t>Beneficio a revisión de jefatura</t>
        </is>
      </c>
      <c r="F51" s="8" t="inlineStr">
        <is>
          <t>Sí</t>
        </is>
      </c>
    </row>
    <row r="52" ht="23" customHeight="1"/>
    <row r="53" ht="36" customHeight="1">
      <c r="A53" s="50" t="inlineStr">
        <is>
          <t>Capa agéntica por área de la cadena de valor</t>
        </is>
      </c>
    </row>
    <row r="54" ht="30" customHeight="1">
      <c r="A54" s="4" t="inlineStr">
        <is>
          <t>Área</t>
        </is>
      </c>
      <c r="B54" s="4" t="inlineStr">
        <is>
          <t>Hoy (manual) *</t>
        </is>
      </c>
      <c r="C54" s="4" t="inlineStr">
        <is>
          <t>Agente</t>
        </is>
      </c>
      <c r="D54" s="4" t="inlineStr">
        <is>
          <t>Hace solo</t>
        </is>
      </c>
      <c r="E54" s="4" t="inlineStr">
        <is>
          <t>Decide una persona</t>
        </is>
      </c>
      <c r="F54" s="4" t="inlineStr">
        <is>
          <t>Sistemas</t>
        </is>
      </c>
      <c r="G54" s="4" t="inlineStr">
        <is>
          <t>KPI</t>
        </is>
      </c>
    </row>
    <row r="55" ht="49" customHeight="1">
      <c r="A55" s="5" t="inlineStr">
        <is>
          <t>Captar</t>
        </is>
      </c>
      <c r="B55" s="10" t="inlineStr">
        <is>
          <t>Formulario de 8 campos sin respuesta inmediata; búsqueda B2B sin ruta propia</t>
        </is>
      </c>
      <c r="C55" s="10" t="inlineStr">
        <is>
          <t>Marketing</t>
        </is>
      </c>
      <c r="D55" s="10" t="inlineStr">
        <is>
          <t>Registra origen y eventos; nutre a quien no avanza (W10)</t>
        </is>
      </c>
      <c r="E55" s="10" t="inlineStr">
        <is>
          <t>Marketing aprueba campañas y piezas</t>
        </is>
      </c>
      <c r="F55" s="10" t="inlineStr">
        <is>
          <t>Google Tag Manager y GA4, Connectif, CRM Marley Coffee Empresas (propuesto)</t>
        </is>
      </c>
      <c r="G55" s="6" t="inlineStr">
        <is>
          <t>K01–K03</t>
        </is>
      </c>
    </row>
    <row r="56" ht="36" customHeight="1">
      <c r="A56" s="5" t="inlineStr">
        <is>
          <t>Calificar</t>
        </is>
      </c>
      <c r="B56" s="10" t="inlineStr">
        <is>
          <t>CRM con 40 %* de fichas completas; sin puntaje ni zona</t>
        </is>
      </c>
      <c r="C56" s="10" t="inlineStr">
        <is>
          <t>Calificación y Orquestador</t>
        </is>
      </c>
      <c r="D56" s="10" t="inlineStr">
        <is>
          <t>Puntaje con zona; asigna la ejecutiva de la comuna</t>
        </is>
      </c>
      <c r="E56" s="10" t="inlineStr">
        <is>
          <t>La ejecutiva acepta el SQL</t>
        </is>
      </c>
      <c r="F56" s="10" t="inlineStr">
        <is>
          <t>CRM Marley Coffee Empresas (propuesto), CRM comercial actual</t>
        </is>
      </c>
      <c r="G56" s="6" t="inlineStr">
        <is>
          <t>K07, K08</t>
        </is>
      </c>
    </row>
    <row r="57" ht="62" customHeight="1">
      <c r="A57" s="5" t="inlineStr">
        <is>
          <t>Vender</t>
        </is>
      </c>
      <c r="B57" s="10" t="inlineStr">
        <is>
          <t>Contacto por correo o teléfono sin contexto ni plazo</t>
        </is>
      </c>
      <c r="C57" s="10" t="inlineStr">
        <is>
          <t>Ventas (arma la propuesta al instante) y bot de bienvenida</t>
        </is>
      </c>
      <c r="D57" s="10" t="inlineStr">
        <is>
          <t>Arma la propuesta con catálogo y stock; le sugiere a la ejecutiva qué ofrecer</t>
        </is>
      </c>
      <c r="E57" s="10" t="inlineStr">
        <is>
          <t>La ejecutiva confirma el precio real, resuelve dudas y cierra</t>
        </is>
      </c>
      <c r="F57" s="10" t="inlineStr">
        <is>
          <t>Correo, WhatsApp, chat y teléfono, VTEX IO (tienda actual), CRM Marley Coffee Empresas (propuesto)</t>
        </is>
      </c>
      <c r="G57" s="6" t="inlineStr">
        <is>
          <t>K04, K05, K09</t>
        </is>
      </c>
    </row>
    <row r="58" ht="36" customHeight="1">
      <c r="A58" s="5" t="inlineStr">
        <is>
          <t>Almacenar y preparar</t>
        </is>
      </c>
      <c r="B58" s="10" t="inlineStr">
        <is>
          <t>82 %* de las reposiciones por ejecutivo, correo o mensajería</t>
        </is>
      </c>
      <c r="C58" s="10" t="inlineStr">
        <is>
          <t>Logística</t>
        </is>
      </c>
      <c r="D58" s="10" t="inlineStr">
        <is>
          <t>Consulta inventario, reserva stock y crea el pedido</t>
        </is>
      </c>
      <c r="E58" s="10" t="inlineStr">
        <is>
          <t>Logística confirma lo que no calza</t>
        </is>
      </c>
      <c r="F58" s="10" t="inlineStr">
        <is>
          <t>VTEX IO (tienda actual), ERP de Marley Coffee</t>
        </is>
      </c>
      <c r="G58" s="6" t="inlineStr">
        <is>
          <t>K11, K18, K19</t>
        </is>
      </c>
    </row>
    <row r="59" ht="36" customHeight="1">
      <c r="A59" s="5" t="inlineStr">
        <is>
          <t>Distribuir</t>
        </is>
      </c>
      <c r="B59" s="10" t="inlineStr">
        <is>
          <t>48 h en la RM y 72 a 96 h en regiones; OTIF 92 %*</t>
        </is>
      </c>
      <c r="C59" s="10" t="inlineStr">
        <is>
          <t>Logística</t>
        </is>
      </c>
      <c r="D59" s="10" t="inlineStr">
        <is>
          <t>Propone ruta y día según la comuna</t>
        </is>
      </c>
      <c r="E59" s="10" t="inlineStr">
        <is>
          <t>Una persona promete la fecha</t>
        </is>
      </c>
      <c r="F59" s="10" t="inlineStr">
        <is>
          <t>Rutas propias y transporte por definir, ERP de Marley Coffee</t>
        </is>
      </c>
      <c r="G59" s="6" t="inlineStr">
        <is>
          <t>K16, K17, K20</t>
        </is>
      </c>
    </row>
    <row r="60" ht="62" customHeight="1">
      <c r="A60" s="5" t="inlineStr">
        <is>
          <t>Cobrar y facturar</t>
        </is>
      </c>
      <c r="B60" s="10" t="inlineStr">
        <is>
          <t>Checkout para personas: sin RUT, giro ni orden de compra</t>
        </is>
      </c>
      <c r="C60" s="10" t="inlineStr">
        <is>
          <t>Orquestador (avisa a Finanzas)</t>
        </is>
      </c>
      <c r="D60" s="10" t="inlineStr">
        <is>
          <t>Arma el alta con RUT y giro; emite la factura al despachar</t>
        </is>
      </c>
      <c r="E60" s="10" t="inlineStr">
        <is>
          <t>Finanzas valida la condición de pago vigente</t>
        </is>
      </c>
      <c r="F60" s="10" t="inlineStr">
        <is>
          <t>VTEX IO (tienda actual), Mercado Pago y Webpay, ERP de Marley Coffee, Facturación desde el ERP</t>
        </is>
      </c>
      <c r="G60" s="6" t="inlineStr">
        <is>
          <t>K25, K26</t>
        </is>
      </c>
    </row>
    <row r="61" ht="49" customHeight="1">
      <c r="A61" s="7" t="inlineStr">
        <is>
          <t>Postventa y recompra</t>
        </is>
      </c>
      <c r="B61" s="14" t="inlineStr">
        <is>
          <t>Retención 86 %*; reclamos por falta de visibilidad del pedido y fallas</t>
        </is>
      </c>
      <c r="C61" s="14" t="inlineStr">
        <is>
          <t>Postventa</t>
        </is>
      </c>
      <c r="D61" s="14" t="inlineStr">
        <is>
          <t>Sugiere recompra por frecuencia, avisa (LM5) y propone referidos</t>
        </is>
      </c>
      <c r="E61" s="14" t="inlineStr">
        <is>
          <t>El ejecutivo de cuenta y la jefatura deciden</t>
        </is>
      </c>
      <c r="F61" s="14" t="inlineStr">
        <is>
          <t>Atención e incidencias, CRM Marley Coffee Empresas (propuesto), VTEX IO (tienda actual)</t>
        </is>
      </c>
      <c r="G61" s="8" t="inlineStr">
        <is>
          <t>K12, K15, K21, K27</t>
        </is>
      </c>
    </row>
    <row r="62" ht="23" customHeight="1"/>
    <row r="63" ht="127" customHeight="1">
      <c r="A63" s="20" t="inlineStr">
        <is>
          <t>* Supuestos académicos del caso [3] y diagnóstico del equipo (ago. 2026). Las APIs de VTEX, Mercado Pago y Webpay están documentadas públicamente (developers.vtex.com, mercadopago.cl/developers, transbankdevelopers.cl; consulta 10-10-2026).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9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K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44" customWidth="1" min="5" max="5"/>
    <col width="10" customWidth="1" min="6" max="6"/>
    <col width="22" customWidth="1" min="7" max="7"/>
    <col width="36" customWidth="1" min="8" max="8"/>
    <col width="22" customWidth="1" min="9" max="9"/>
    <col width="14" customWidth="1" min="10" max="10"/>
    <col width="30" customWidth="1" min="11" max="11"/>
  </cols>
  <sheetData>
    <row r="1" ht="28" customHeight="1">
      <c r="A1" s="1" t="inlineStr">
        <is>
          <t>Blueprint de inbound automatizado y contenido segmentado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6" customHeight="1">
      <c r="A2" s="3" t="inlineStr">
        <is>
          <t>Etapa del funnel → segmento → pieza audiovisual o gráfica → lead magnet → canal → gatillador y workflow (hoja 05) → agente → KPI (hoja 04). Diagrama en el Anexo D (flujo 6).</t>
        </is>
      </c>
    </row>
    <row r="3"/>
    <row r="4" ht="30" customHeight="1">
      <c r="A4" s="4" t="inlineStr">
        <is>
          <t>Flywheel</t>
        </is>
      </c>
      <c r="B4" s="4" t="inlineStr">
        <is>
          <t>Etapa del embudo</t>
        </is>
      </c>
      <c r="C4" s="4" t="inlineStr">
        <is>
          <t>Objetivo</t>
        </is>
      </c>
      <c r="D4" s="4" t="inlineStr">
        <is>
          <t>Segmento</t>
        </is>
      </c>
      <c r="E4" s="4" t="inlineStr">
        <is>
          <t>Pieza (audiovisual o gráfica)</t>
        </is>
      </c>
      <c r="F4" s="4" t="inlineStr">
        <is>
          <t>Lead magnet</t>
        </is>
      </c>
      <c r="G4" s="4" t="inlineStr">
        <is>
          <t>Canal</t>
        </is>
      </c>
      <c r="H4" s="4" t="inlineStr">
        <is>
          <t>Gatillador y workflow</t>
        </is>
      </c>
      <c r="I4" s="4" t="inlineStr">
        <is>
          <t>Agente</t>
        </is>
      </c>
      <c r="J4" s="4" t="inlineStr">
        <is>
          <t>KPI</t>
        </is>
      </c>
      <c r="K4" s="4" t="inlineStr">
        <is>
          <t>Puntaje que suma (acumulado)</t>
        </is>
      </c>
    </row>
    <row r="5">
      <c r="A5" s="5" t="inlineStr">
        <is>
          <t>Atraer</t>
        </is>
      </c>
      <c r="B5" s="10" t="inlineStr">
        <is>
          <t>Descubrimiento</t>
        </is>
      </c>
      <c r="C5" s="10" t="inlineStr">
        <is>
          <t>Atraer intención profesional</t>
        </is>
      </c>
      <c r="D5" s="10" t="inlineStr">
        <is>
          <t>Tipo de negocio × zona</t>
        </is>
      </c>
      <c r="E5" s="10" t="inlineStr">
        <is>
          <t>Páginas Empresas por negocio con H1 y H2 por intención; contenido orgánico por tipo de negocio para Instagram y LinkedIn; anuncios de búsqueda por intención</t>
        </is>
      </c>
      <c r="F5" s="10" t="inlineStr">
        <is>
          <t>—</t>
        </is>
      </c>
      <c r="G5" s="10" t="inlineStr">
        <is>
          <t>SEO y Search Console, redes sociales orgánicas, SEM por intención y AEO</t>
        </is>
      </c>
      <c r="H5" s="10" t="inlineStr">
        <is>
          <t>Visita con UTM → registro de origen</t>
        </is>
      </c>
      <c r="I5" s="10" t="inlineStr">
        <is>
          <t>Marketing</t>
        </is>
      </c>
      <c r="J5" s="10" t="inlineStr">
        <is>
          <t>K01</t>
        </is>
      </c>
      <c r="K5" s="6" t="inlineStr">
        <is>
          <t>0 (solo origen UTM)</t>
        </is>
      </c>
    </row>
    <row r="6">
      <c r="A6" s="5" t="inlineStr">
        <is>
          <t>Atraer</t>
        </is>
      </c>
      <c r="B6" s="10" t="inlineStr">
        <is>
          <t>Exploración</t>
        </is>
      </c>
      <c r="C6" s="10" t="inlineStr">
        <is>
          <t>Imaginar la solución en su local</t>
        </is>
      </c>
      <c r="D6" s="10" t="inlineStr">
        <is>
          <t>Por tipo de negocio</t>
        </is>
      </c>
      <c r="E6" s="10" t="inlineStr">
        <is>
          <t>Hero con video al scroll, pestañas por negocio y escenas de casos (C02, C08)</t>
        </is>
      </c>
      <c r="F6" s="10" t="inlineStr">
        <is>
          <t>LM1</t>
        </is>
      </c>
      <c r="G6" s="10" t="inlineStr">
        <is>
          <t>Sitio Empresas</t>
        </is>
      </c>
      <c r="H6" s="10" t="inlineStr">
        <is>
          <t>«Ver mi solución» (+10)</t>
        </is>
      </c>
      <c r="I6" s="10" t="inlineStr">
        <is>
          <t>Marketing</t>
        </is>
      </c>
      <c r="J6" s="10" t="inlineStr">
        <is>
          <t>K01, K03</t>
        </is>
      </c>
      <c r="K6" s="6" t="inlineStr">
        <is>
          <t>+10 → 10</t>
        </is>
      </c>
    </row>
    <row r="7">
      <c r="A7" s="5" t="inlineStr">
        <is>
          <t>Interactuar</t>
        </is>
      </c>
      <c r="B7" s="10" t="inlineStr">
        <is>
          <t>Identificación</t>
        </is>
      </c>
      <c r="C7" s="10" t="inlineStr">
        <is>
          <t>Dejar contacto con permiso</t>
        </is>
      </c>
      <c r="D7" s="10" t="inlineStr">
        <is>
          <t>Todos</t>
        </is>
      </c>
      <c r="E7" s="10" t="inlineStr">
        <is>
          <t>Formulario al principio (nombre, correo y WhatsApp con +56 9 escrito, y permiso); correo con el N.º de seguimiento; si abandona, aviso a las 24 h y audiencia de remarketing</t>
        </is>
      </c>
      <c r="F7" s="10" t="inlineStr">
        <is>
          <t>LM2</t>
        </is>
      </c>
      <c r="G7" s="10" t="inlineStr">
        <is>
          <t>Sitio, correo y WhatsApp</t>
        </is>
      </c>
      <c r="H7" s="10" t="inlineStr">
        <is>
          <t>W1 al dejar correo con permiso; W4 si no termina en 24 h</t>
        </is>
      </c>
      <c r="I7" s="10" t="inlineStr">
        <is>
          <t>Calificación</t>
        </is>
      </c>
      <c r="J7" s="10" t="inlineStr">
        <is>
          <t>K02</t>
        </is>
      </c>
      <c r="K7" s="6" t="inlineStr">
        <is>
          <t>+20 → 30 (identificado: correo con permiso)</t>
        </is>
      </c>
    </row>
    <row r="8">
      <c r="A8" s="5" t="inlineStr">
        <is>
          <t>Interactuar</t>
        </is>
      </c>
      <c r="B8" s="10" t="inlineStr">
        <is>
          <t>Evaluación</t>
        </is>
      </c>
      <c r="C8" s="10" t="inlineStr">
        <is>
          <t>Recomendar y calificar</t>
        </is>
      </c>
      <c r="D8" s="10" t="inlineStr">
        <is>
          <t>Negocio × zona × banda de puntaje</t>
        </is>
      </c>
      <c r="E8" s="10" t="inlineStr">
        <is>
          <t>Diagnóstico de 3 pasos y propuesta al instante con máquina, café al mes y precio mensual; extras recomendados por negocio</t>
        </is>
      </c>
      <c r="F8" s="10" t="inlineStr">
        <is>
          <t>LM3</t>
        </is>
      </c>
      <c r="G8" s="10" t="inlineStr">
        <is>
          <t>Sitio Empresas y remarketing (Google y Meta)</t>
        </is>
      </c>
      <c r="H8" s="10" t="inlineStr">
        <is>
          <t>W2 al ver la propuesta; W4 a las 24 h si no la acepta; W10 a los 3, 7 y 14 días</t>
        </is>
      </c>
      <c r="I8" s="10" t="inlineStr">
        <is>
          <t>Ventas (IA) y Calificación</t>
        </is>
      </c>
      <c r="J8" s="10" t="inlineStr">
        <is>
          <t>K03, K07</t>
        </is>
      </c>
      <c r="K8" s="6" t="inlineStr">
        <is>
          <t>+5 +4 +10 +5 → 54 (MQL ≥ 40); +4 +4 → 62; ve su propuesta +8 → 70</t>
        </is>
      </c>
    </row>
    <row r="9">
      <c r="A9" s="5" t="inlineStr">
        <is>
          <t>Interactuar</t>
        </is>
      </c>
      <c r="B9" s="10" t="inlineStr">
        <is>
          <t>Conversión</t>
        </is>
      </c>
      <c r="C9" s="10" t="inlineStr">
        <is>
          <t>Aceptar o hablar con una persona</t>
        </is>
      </c>
      <c r="D9" s="10" t="inlineStr">
        <is>
          <t>MQL por zona</t>
        </is>
      </c>
      <c r="E9" s="10" t="inlineStr">
        <is>
          <t>Aceptar en un toque; chat con bot y espera visible; llamada con ficha que el cliente ve; la ejecutiva envía la propuesta que sugirió el agente</t>
        </is>
      </c>
      <c r="F9" s="10" t="inlineStr">
        <is>
          <t>LM4</t>
        </is>
      </c>
      <c r="G9" s="10" t="inlineStr">
        <is>
          <t>Portal, WhatsApp, teléfono y correo</t>
        </is>
      </c>
      <c r="H9" s="10" t="inlineStr">
        <is>
          <t>W3 al aceptar o elegir canal; W5 a las 72 h; W6 pausa al responder</t>
        </is>
      </c>
      <c r="I9" s="10" t="inlineStr">
        <is>
          <t>Ventas (IA), ejecutiva y bot</t>
        </is>
      </c>
      <c r="J9" s="10" t="inlineStr">
        <is>
          <t>K04, K05, K08, K09</t>
        </is>
      </c>
      <c r="K9" s="6" t="inlineStr">
        <is>
          <t>Acepta +15 o pide hablar +3 +12; portal +8 → 93; ampliada +12 → 100 (tope); SQL lo acepta una persona</t>
        </is>
      </c>
    </row>
    <row r="10">
      <c r="A10" s="5" t="inlineStr">
        <is>
          <t>Deleitar</t>
        </is>
      </c>
      <c r="B10" s="10" t="inlineStr">
        <is>
          <t>Recompra y expansión</t>
        </is>
      </c>
      <c r="C10" s="10" t="inlineStr">
        <is>
          <t>Repetir y escalar</t>
        </is>
      </c>
      <c r="D10" s="10" t="inlineStr">
        <is>
          <t>Cliente activo por frecuencia</t>
        </is>
      </c>
      <c r="E10" s="10" t="inlineStr">
        <is>
          <t>Aviso de reposición; servicios con foto y rango (Coffee Experience, catering, POP, capacitación)</t>
        </is>
      </c>
      <c r="F10" s="10" t="inlineStr">
        <is>
          <t>LM5, LM6</t>
        </is>
      </c>
      <c r="G10" s="10" t="inlineStr">
        <is>
          <t>Mi cuenta, correo y encuesta de satisfacción</t>
        </is>
      </c>
      <c r="H10" s="10" t="inlineStr">
        <is>
          <t>W7 según su frecuencia; W9 pausa ante incidencia</t>
        </is>
      </c>
      <c r="I10" s="10" t="inlineStr">
        <is>
          <t>Postventa y Logística</t>
        </is>
      </c>
      <c r="J10" s="10" t="inlineStr">
        <is>
          <t>K11, K12, K27</t>
        </is>
      </c>
      <c r="K10" s="6" t="inlineStr">
        <is>
          <t>Financial: frecuencia 25 % y amplitud 10 %</t>
        </is>
      </c>
    </row>
    <row r="11">
      <c r="A11" s="7" t="inlineStr">
        <is>
          <t>Deleitar</t>
        </is>
      </c>
      <c r="B11" s="14" t="inlineStr">
        <is>
          <t>Referido</t>
        </is>
      </c>
      <c r="C11" s="14" t="inlineStr">
        <is>
          <t>Recomendar</t>
        </is>
      </c>
      <c r="D11" s="14" t="inlineStr">
        <is>
          <t>Frecuente con Financial ≥ 70</t>
        </is>
      </c>
      <c r="E11" s="14" t="inlineStr">
        <is>
          <t>Invitación con código y beneficio experiencial; tazas, POP y Coffee Experience para recordación</t>
        </is>
      </c>
      <c r="F11" s="14" t="inlineStr">
        <is>
          <t>LM7</t>
        </is>
      </c>
      <c r="G11" s="14" t="inlineStr">
        <is>
          <t>Mi cuenta y activaciones de marca</t>
        </is>
      </c>
      <c r="H11" s="14" t="inlineStr">
        <is>
          <t>W8 cliente frecuente sin incidencia</t>
        </is>
      </c>
      <c r="I11" s="14" t="inlineStr">
        <is>
          <t>Postventa y Marketing</t>
        </is>
      </c>
      <c r="J11" s="14" t="inlineStr">
        <is>
          <t>K15</t>
        </is>
      </c>
      <c r="K11" s="8" t="inlineStr">
        <is>
          <t>Origen «Referido»</t>
        </is>
      </c>
    </row>
    <row r="12"/>
    <row r="13">
      <c r="A13" s="50" t="inlineStr">
        <is>
          <t>Contenido segmentado por tipo de negocio</t>
        </is>
      </c>
    </row>
    <row r="14" ht="30" customHeight="1">
      <c r="A14" s="4" t="inlineStr">
        <is>
          <t>Negocio</t>
        </is>
      </c>
      <c r="B14" s="4" t="inlineStr">
        <is>
          <t>Exploración (pieza)</t>
        </is>
      </c>
      <c r="C14" s="4" t="inlineStr">
        <is>
          <t>Evaluación: LM3 muestra</t>
        </is>
      </c>
      <c r="D14" s="4" t="inlineStr">
        <is>
          <t>Conversión y expansión: LM4 / LM6 ofrecen primero</t>
        </is>
      </c>
      <c r="E14" s="4" t="inlineStr">
        <is>
          <t>Nutrición W10 (A/B: guía + video; C/R: guía + cobertura)</t>
        </is>
      </c>
    </row>
    <row r="15">
      <c r="A15" s="5" t="inlineStr">
        <is>
          <t>Hotel</t>
        </is>
      </c>
      <c r="B15" s="10" t="inlineStr">
        <is>
          <t>Video caso hotel: desayuno, habitaciones y lobby</t>
        </is>
      </c>
      <c r="C15" s="10" t="inlineStr">
        <is>
          <t>Bar para el desayuno, Pods en las habitaciones y tazas de la marca para el lobby</t>
        </is>
      </c>
      <c r="D15" s="10" t="inlineStr">
        <is>
          <t>Tazas y accesorios de la marca, Material de marca para tu local, Coffee Experience para eventos</t>
        </is>
      </c>
      <c r="E15" s="6" t="inlineStr">
        <is>
          <t>Guía para el desayuno y las habitaciones</t>
        </is>
      </c>
    </row>
    <row r="16">
      <c r="A16" s="5" t="inlineStr">
        <is>
          <t>Restaurante</t>
        </is>
      </c>
      <c r="B16" s="10" t="inlineStr">
        <is>
          <t>Video caso restaurante: espresso de sobremesa</t>
        </is>
      </c>
      <c r="C16" s="10" t="inlineStr">
        <is>
          <t>espresso de sobremesa con grano o molido y la taza de la marca en cada mesa</t>
        </is>
      </c>
      <c r="D16" s="10" t="inlineStr">
        <is>
          <t>Tazas y accesorios de la marca, Material de marca para tu local, Catering con la marca</t>
        </is>
      </c>
      <c r="E16" s="6" t="inlineStr">
        <is>
          <t>Guía del espresso de sobremesa</t>
        </is>
      </c>
    </row>
    <row r="17">
      <c r="A17" s="5" t="inlineStr">
        <is>
          <t>Cafetería</t>
        </is>
      </c>
      <c r="B17" s="10" t="inlineStr">
        <is>
          <t>Escena cafetería (C08) y comparador de grano</t>
        </is>
      </c>
      <c r="C17" s="10" t="inlineStr">
        <is>
          <t>café en grano para la barra y variedad de preparaciones</t>
        </is>
      </c>
      <c r="D17" s="10" t="inlineStr">
        <is>
          <t>Capacitación de barista, Material de marca para tu local, Punto de activación</t>
        </is>
      </c>
      <c r="E17" s="6" t="inlineStr">
        <is>
          <t>Guía de barra con barista</t>
        </is>
      </c>
    </row>
    <row r="18">
      <c r="A18" s="7" t="inlineStr">
        <is>
          <t>Eventos o catering</t>
        </is>
      </c>
      <c r="B18" s="14" t="inlineStr">
        <is>
          <t>Escena eventos (C08) y activación real con Hard Rock Café (2025)</t>
        </is>
      </c>
      <c r="C18" s="14" t="inlineStr">
        <is>
          <t>Coffee Experience con barra y barista, o Café al paso para volumen alto</t>
        </is>
      </c>
      <c r="D18" s="14" t="inlineStr">
        <is>
          <t>Punto de activación, Material de marca para tu local, Catering con la marca</t>
        </is>
      </c>
      <c r="E18" s="8" t="inlineStr">
        <is>
          <t>Guía de volumen alto en pocas horas</t>
        </is>
      </c>
    </row>
    <row r="19"/>
    <row r="20">
      <c r="A20" s="50" t="inlineStr">
        <is>
          <t>Tácticas por etapa del flywheel (el inbound es un todo: cada etapa combina varias tácticas y cada una se mide)</t>
        </is>
      </c>
    </row>
    <row r="21" ht="30" customHeight="1">
      <c r="A21" s="4" t="inlineStr">
        <is>
          <t>Etapa del flywheel</t>
        </is>
      </c>
      <c r="B21" s="4" t="inlineStr">
        <is>
          <t>Táctica</t>
        </is>
      </c>
      <c r="C21" s="4" t="inlineStr">
        <is>
          <t>Qué se hace</t>
        </is>
      </c>
      <c r="D21" s="4" t="inlineStr">
        <is>
          <t>Cómo se mide</t>
        </is>
      </c>
    </row>
    <row r="22">
      <c r="A22" s="5" t="inlineStr">
        <is>
          <t>Atraer</t>
        </is>
      </c>
      <c r="B22" s="10" t="inlineStr">
        <is>
          <t>SEO desde el día cero</t>
        </is>
      </c>
      <c r="C22" s="10" t="inlineStr">
        <is>
          <t>Palabras clave definidas por buyer persona (gerente de A&amp;B de hotel, dueño de restaurante o cafetería, productor de eventos): «café para empresas», «máquina de café para hotel», «arriendo máquina de café», «coffee break para empresas». Una página por intención con H1 y H2 que responden la búsqueda.</t>
        </is>
      </c>
      <c r="D22" s="6" t="inlineStr">
        <is>
          <t>Impresiones, clics y posición por consulta · K01</t>
        </is>
      </c>
    </row>
    <row r="23">
      <c r="A23" s="5" t="inlineStr">
        <is>
          <t>Atraer</t>
        </is>
      </c>
      <c r="B23" s="10" t="inlineStr">
        <is>
          <t>Indexación con Google Search Console</t>
        </is>
      </c>
      <c r="C23" s="10" t="inlineStr">
        <is>
          <t>Verificar la propiedad /empresas, enviar un sitemap correcto (el actual tiene errores, hallazgo del diagnóstico), revisar cobertura e indexación, rendimiento por consulta y Core Web Vitals.</t>
        </is>
      </c>
      <c r="D23" s="6" t="inlineStr">
        <is>
          <t>Páginas indexadas y errores de cobertura</t>
        </is>
      </c>
    </row>
    <row r="24">
      <c r="A24" s="5" t="inlineStr">
        <is>
          <t>Atraer</t>
        </is>
      </c>
      <c r="B24" s="10" t="inlineStr">
        <is>
          <t>Contenido orgánico en redes</t>
        </is>
      </c>
      <c r="C24" s="10" t="inlineStr">
        <is>
          <t>Instagram y LinkedIn por tipo de negocio: clips de cada escena (hotel, restaurante, cafetería, evento), casos y activaciones; cada pieza lleva UTM al sitio Empresas.</t>
        </is>
      </c>
      <c r="D24" s="6" t="inlineStr">
        <is>
          <t>Alcance, guardados y clics con UTM · K01</t>
        </is>
      </c>
    </row>
    <row r="25">
      <c r="A25" s="5" t="inlineStr">
        <is>
          <t>Atraer</t>
        </is>
      </c>
      <c r="B25" s="10" t="inlineStr">
        <is>
          <t>SEM por intención profesional</t>
        </is>
      </c>
      <c r="C25" s="10" t="inlineStr">
        <is>
          <t>Búsqueda pagada con las mismas palabras clave, anuncios por tipo de negocio y página de destino por intención; palabras negativas para no pagar búsquedas de consumo personal (hoy el gasto se concentra en B2C, hallazgo).</t>
        </is>
      </c>
      <c r="D25" s="6" t="inlineStr">
        <is>
          <t>Costo por clic, costo por contacto y tasa a «Ver mi solución»</t>
        </is>
      </c>
    </row>
    <row r="26">
      <c r="A26" s="5" t="inlineStr">
        <is>
          <t>Atraer</t>
        </is>
      </c>
      <c r="B26" s="10" t="inlineStr">
        <is>
          <t>AEO: respuestas para buscadores e IA</t>
        </is>
      </c>
      <c r="C26" s="10" t="inlineStr">
        <is>
          <t>Preguntas frecuentes con la respuesta primero y datos estructurados (FAQPage, Product, Organization) para que los buscadores y los asistentes de IA citen el sitio.</t>
        </is>
      </c>
      <c r="D26" s="6" t="inlineStr">
        <is>
          <t>Set fijo de preguntas medido por fecha</t>
        </is>
      </c>
    </row>
    <row r="27">
      <c r="A27" s="5" t="inlineStr">
        <is>
          <t>Interactuar</t>
        </is>
      </c>
      <c r="B27" s="10" t="inlineStr">
        <is>
          <t>Correos automáticos y nutrición</t>
        </is>
      </c>
      <c r="C27" s="10" t="inlineStr">
        <is>
          <t>N.º de seguimiento al dejar su correo al principio (W1), propuesta por correo apenas el agente la arma (W2), aviso a las 24 h si abandona el diagnóstico o no acepta (W4) y nutrición a los 3, 7 y 14 días según negocio y zona (W10).</t>
        </is>
      </c>
      <c r="D27" s="6" t="inlineStr">
        <is>
          <t>Apertura, clics · K02, K03</t>
        </is>
      </c>
    </row>
    <row r="28">
      <c r="A28" s="5" t="inlineStr">
        <is>
          <t>Interactuar</t>
        </is>
      </c>
      <c r="B28" s="10" t="inlineStr">
        <is>
          <t>Contenido personalizado</t>
        </is>
      </c>
      <c r="C28" s="10" t="inlineStr">
        <is>
          <t>Lo de su negocio y nada más: soluciones por momento del día, propuesta al instante con máquina, café al mes y precio, y extras recomendados para su tipo de negocio.</t>
        </is>
      </c>
      <c r="D28" s="6" t="inlineStr">
        <is>
          <t>Diagnóstico completo y MQL · K03, K07</t>
        </is>
      </c>
    </row>
    <row r="29">
      <c r="A29" s="5" t="inlineStr">
        <is>
          <t>Interactuar</t>
        </is>
      </c>
      <c r="B29" s="10" t="inlineStr">
        <is>
          <t>Mensajes personalizados</t>
        </is>
      </c>
      <c r="C29" s="10" t="inlineStr">
        <is>
          <t>En el canal que elige la persona: chat con asistente y ejecutiva, llamada en vivo con ficha, correo o WhatsApp; la ejecutiva ve lo que cotizó y la propuesta que le sugiere el agente.</t>
        </is>
      </c>
      <c r="D29" s="6" t="inlineStr">
        <is>
          <t>Pedido de contacto y primera respuesta · K04, K05, K06</t>
        </is>
      </c>
    </row>
    <row r="30">
      <c r="A30" s="5" t="inlineStr">
        <is>
          <t>Interactuar</t>
        </is>
      </c>
      <c r="B30" s="10" t="inlineStr">
        <is>
          <t>Remarketing</t>
        </is>
      </c>
      <c r="C30" s="10" t="inlineStr">
        <is>
          <t>Audiencias con los datos que dejó al principio (correo y WhatsApp con permiso) y de quienes dejaron el diagnóstico a medias (Google y Meta), con la pieza de su negocio; se pausa cuando ya habló con una persona (W6).</t>
        </is>
      </c>
      <c r="D30" s="6" t="inlineStr">
        <is>
          <t>Regreso al portal y diagnósticos retomados · K03</t>
        </is>
      </c>
    </row>
    <row r="31">
      <c r="A31" s="5" t="inlineStr">
        <is>
          <t>Interactuar</t>
        </is>
      </c>
      <c r="B31" s="10" t="inlineStr">
        <is>
          <t>Activaciones en puntos</t>
        </is>
      </c>
      <c r="C31" s="10" t="inlineStr">
        <is>
          <t>Degustaciones y barra de marca en hoteles, restaurantes y eventos (como Hard Rock Café, 2025) con un código o QR al sitio Empresas.</t>
        </is>
      </c>
      <c r="D31" s="6" t="inlineStr">
        <is>
          <t>Contactos con origen «Activación»</t>
        </is>
      </c>
    </row>
    <row r="32">
      <c r="A32" s="5" t="inlineStr">
        <is>
          <t>Interactuar</t>
        </is>
      </c>
      <c r="B32" s="10" t="inlineStr">
        <is>
          <t>Experiencia UX externa e interna</t>
        </is>
      </c>
      <c r="C32" s="10" t="inlineStr">
        <is>
          <t>Afuera: máquinas primero, datos básicos al principio para no perder a quien abandona, 3 pasos ya sugeridos, propuesta al instante y ajustes al instante. Adentro: CRM por rol con lo que cotizó el cliente y la propuesta sugerida por el agente. Validado con 5 usuarios (15-10) y por medir en una segunda ronda.</t>
        </is>
      </c>
      <c r="D32" s="6" t="inlineStr">
        <is>
          <t>Éxito de tarea, facilidad y SUS · K22, K23, K24</t>
        </is>
      </c>
    </row>
    <row r="33">
      <c r="A33" s="5" t="inlineStr">
        <is>
          <t>Deleitar</t>
        </is>
      </c>
      <c r="B33" s="10" t="inlineStr">
        <is>
          <t>Programa de referidos</t>
        </is>
      </c>
      <c r="C33" s="10" t="inlineStr">
        <is>
          <t>Código con beneficio experiencial (LM7) para clientes frecuentes sin incidencias; el referido llega con origen propio al CRM.</t>
        </is>
      </c>
      <c r="D33" s="6" t="inlineStr">
        <is>
          <t>Referidos convertidos · K15</t>
        </is>
      </c>
    </row>
    <row r="34">
      <c r="A34" s="5" t="inlineStr">
        <is>
          <t>Deleitar</t>
        </is>
      </c>
      <c r="B34" s="10" t="inlineStr">
        <is>
          <t>Mejorar la experiencia de servicio</t>
        </is>
      </c>
      <c r="C34" s="10" t="inlineStr">
        <is>
          <t>Reposición digital con aviso antes de quedarse sin café (LM5), seguimiento del pedido, mantención y postventa con respuesta rápida.</t>
        </is>
      </c>
      <c r="D34" s="6" t="inlineStr">
        <is>
          <t>Reposición digital, frecuencia, OTIF y postventa · K11, K12, K16, K21</t>
        </is>
      </c>
    </row>
    <row r="35">
      <c r="A35" s="5" t="inlineStr">
        <is>
          <t>Deleitar</t>
        </is>
      </c>
      <c r="B35" s="10" t="inlineStr">
        <is>
          <t>Mensajes de seguimiento y satisfacción</t>
        </is>
      </c>
      <c r="C35" s="10" t="inlineStr">
        <is>
          <t>Encuesta corta después de la instalación y de cada incidencia, con respuesta de una persona; agradecimiento y contenido útil para el equipo del cliente.</t>
        </is>
      </c>
      <c r="D35" s="6" t="inlineStr">
        <is>
          <t>Satisfacción y retención · K27</t>
        </is>
      </c>
    </row>
    <row r="36">
      <c r="A36" s="5" t="inlineStr">
        <is>
          <t>Deleitar</t>
        </is>
      </c>
      <c r="B36" s="10" t="inlineStr">
        <is>
          <t>Recordación de marca</t>
        </is>
      </c>
      <c r="C36" s="10" t="inlineStr">
        <is>
          <t>Tazas, material POP y Coffee Experience en el local del cliente; capacitación de baristas; piezas que el cliente puede compartir.</t>
        </is>
      </c>
      <c r="D36" s="6" t="inlineStr">
        <is>
          <t>Ticket y clientes activos · K13, K14</t>
        </is>
      </c>
    </row>
    <row r="37">
      <c r="A37" s="7" t="inlineStr">
        <is>
          <t>Deleitar</t>
        </is>
      </c>
      <c r="B37" s="14" t="inlineStr">
        <is>
          <t>Ramificación</t>
        </is>
      </c>
      <c r="C37" s="14" t="inlineStr">
        <is>
          <t>Sumar sucursales y servicios (LM6: eventos, catering, activaciones) y casos con permiso que vuelven a atraer: el ciclo se acelera.</t>
        </is>
      </c>
      <c r="D37" s="8" t="inlineStr">
        <is>
          <t>Ticket y NRR · K13, K27</t>
        </is>
      </c>
    </row>
  </sheetData>
  <mergeCells count="1">
    <mergeCell ref="A2:K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tabColor rgb="00F7BE00"/>
    <outlinePr summaryBelow="1" summaryRight="1"/>
    <pageSetUpPr fitToPage="1"/>
  </sheetPr>
  <dimension ref="A1:K5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2" customWidth="1" min="4" max="4"/>
    <col width="16" customWidth="1" min="5" max="5"/>
    <col width="28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8" customHeight="1">
      <c r="A1" s="1" t="inlineStr">
        <is>
          <t>Máquinas, café y servicios: rangos SUPUESTOS y calculadora de costo mensual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6" customHeight="1">
      <c r="A2" s="3" t="inlineStr">
        <is>
          <t>SUPUESTOS ACADÉMICOS pedidos por el autor (12-10-2026), a validar con Marley Coffee. Solo la referencia pública (bolsas de 227 g) es un dato real. Montos en CLP sin IVA.</t>
        </is>
      </c>
    </row>
    <row r="3"/>
    <row r="4" ht="49" customHeight="1">
      <c r="A4" s="4" t="inlineStr">
        <is>
          <t>ID</t>
        </is>
      </c>
      <c r="B4" s="4" t="inlineStr">
        <is>
          <t>Máquina</t>
        </is>
      </c>
      <c r="C4" s="4" t="inlineStr">
        <is>
          <t>Tipo</t>
        </is>
      </c>
      <c r="D4" s="4" t="inlineStr">
        <is>
          <t>Para</t>
        </is>
      </c>
      <c r="E4" s="4" t="inlineStr">
        <is>
          <t>Tazas al día</t>
        </is>
      </c>
      <c r="F4" s="4" t="inlineStr">
        <is>
          <t>Formato</t>
        </is>
      </c>
      <c r="G4" s="4" t="inlineStr">
        <is>
          <t>Personal</t>
        </is>
      </c>
      <c r="H4" s="4" t="inlineStr">
        <is>
          <t>Compra directa mín (pago único)</t>
        </is>
      </c>
      <c r="I4" s="4" t="inlineStr">
        <is>
          <t>Compra directa máx (pago único)</t>
        </is>
      </c>
      <c r="J4" s="4" t="inlineStr">
        <is>
          <t>Arriendo mín / mes</t>
        </is>
      </c>
      <c r="K4" s="4" t="inlineStr">
        <is>
          <t>Arriendo máx / mes</t>
        </is>
      </c>
    </row>
    <row r="5" ht="36" customHeight="1">
      <c r="A5" s="5" t="inlineStr">
        <is>
          <t>bar</t>
        </is>
      </c>
      <c r="B5" s="10" t="inlineStr">
        <is>
          <t>Bar</t>
        </is>
      </c>
      <c r="C5" s="10" t="inlineStr">
        <is>
          <t>Espresso profesional con molinillo</t>
        </is>
      </c>
      <c r="D5" s="10" t="inlineStr">
        <is>
          <t>Cafetería, Restaurante, Hotel</t>
        </is>
      </c>
      <c r="E5" s="10" t="inlineStr">
        <is>
          <t>100 a 400 tazas al día</t>
        </is>
      </c>
      <c r="F5" s="10" t="inlineStr">
        <is>
          <t>Café en grano</t>
        </is>
      </c>
      <c r="G5" s="10" t="inlineStr">
        <is>
          <t>Con barista (capacitación a confirmar)</t>
        </is>
      </c>
      <c r="H5" s="60" t="n">
        <v>2900000</v>
      </c>
      <c r="I5" s="60" t="n">
        <v>4500000</v>
      </c>
      <c r="J5" s="60" t="n">
        <v>140000</v>
      </c>
      <c r="K5" s="62" t="n">
        <v>220000</v>
      </c>
    </row>
    <row r="6" ht="36" customHeight="1">
      <c r="A6" s="5" t="inlineStr">
        <is>
          <t>oficina</t>
        </is>
      </c>
      <c r="B6" s="10" t="inlineStr">
        <is>
          <t>Oficina</t>
        </is>
      </c>
      <c r="C6" s="10" t="inlineStr">
        <is>
          <t>Superautomática con pantalla</t>
        </is>
      </c>
      <c r="D6" s="10" t="inlineStr">
        <is>
          <t>Hotel, Restaurante</t>
        </is>
      </c>
      <c r="E6" s="10" t="inlineStr">
        <is>
          <t>40 a 150 tazas al día</t>
        </is>
      </c>
      <c r="F6" s="10" t="inlineStr">
        <is>
          <t>Café en grano y leche</t>
        </is>
      </c>
      <c r="G6" s="10" t="inlineStr">
        <is>
          <t>Autoservicio de un toque</t>
        </is>
      </c>
      <c r="H6" s="60" t="n">
        <v>1900000</v>
      </c>
      <c r="I6" s="60" t="n">
        <v>3200000</v>
      </c>
      <c r="J6" s="60" t="n">
        <v>65000</v>
      </c>
      <c r="K6" s="62" t="n">
        <v>110000</v>
      </c>
    </row>
    <row r="7" ht="36" customHeight="1">
      <c r="A7" s="5" t="inlineStr">
        <is>
          <t>cafe_al_paso</t>
        </is>
      </c>
      <c r="B7" s="10" t="inlineStr">
        <is>
          <t>Café al paso</t>
        </is>
      </c>
      <c r="C7" s="10" t="inlineStr">
        <is>
          <t>Automática de autoservicio</t>
        </is>
      </c>
      <c r="D7" s="10" t="inlineStr">
        <is>
          <t>Hotel, Eventos o catering</t>
        </is>
      </c>
      <c r="E7" s="10" t="inlineStr">
        <is>
          <t>80 a 300 tazas al día</t>
        </is>
      </c>
      <c r="F7" s="10" t="inlineStr">
        <is>
          <t>Grano molido al momento y bebidas calientes</t>
        </is>
      </c>
      <c r="G7" s="10" t="inlineStr">
        <is>
          <t>Sin barista</t>
        </is>
      </c>
      <c r="H7" s="60" t="inlineStr">
        <is>
          <t>A cotizar</t>
        </is>
      </c>
      <c r="I7" s="60" t="inlineStr">
        <is>
          <t>A cotizar</t>
        </is>
      </c>
      <c r="J7" s="60" t="n">
        <v>95000</v>
      </c>
      <c r="K7" s="62" t="n">
        <v>150000</v>
      </c>
    </row>
    <row r="8" ht="36" customHeight="1">
      <c r="A8" s="7" t="inlineStr">
        <is>
          <t>pods</t>
        </is>
      </c>
      <c r="B8" s="14" t="inlineStr">
        <is>
          <t>Pods</t>
        </is>
      </c>
      <c r="C8" s="14" t="inlineStr">
        <is>
          <t>Espresso en dosis individuales, 2 tazas a la vez</t>
        </is>
      </c>
      <c r="D8" s="14" t="inlineStr">
        <is>
          <t>Restaurante, Hotel, Cafetería</t>
        </is>
      </c>
      <c r="E8" s="14" t="inlineStr">
        <is>
          <t>30 a 120 tazas al día</t>
        </is>
      </c>
      <c r="F8" s="14" t="inlineStr">
        <is>
          <t>Pods (monodosis de café)</t>
        </is>
      </c>
      <c r="G8" s="14" t="inlineStr">
        <is>
          <t>Sin barista</t>
        </is>
      </c>
      <c r="H8" s="63" t="n">
        <v>690000</v>
      </c>
      <c r="I8" s="63" t="n">
        <v>1200000</v>
      </c>
      <c r="J8" s="63" t="n">
        <v>45000</v>
      </c>
      <c r="K8" s="64" t="n">
        <v>80000</v>
      </c>
    </row>
    <row r="9" ht="23" customHeight="1"/>
    <row r="10" ht="36" customHeight="1">
      <c r="A10" s="4" t="inlineStr">
        <is>
          <t>Insumo</t>
        </is>
      </c>
      <c r="B10" s="4" t="inlineStr">
        <is>
          <t>Unidad</t>
        </is>
      </c>
      <c r="C10" s="4" t="inlineStr">
        <is>
          <t>Precio mín</t>
        </is>
      </c>
      <c r="D10" s="4" t="inlineStr">
        <is>
          <t>Precio máx</t>
        </is>
      </c>
      <c r="E10" s="4" t="inlineStr">
        <is>
          <t>Tazas por unidad</t>
        </is>
      </c>
      <c r="F10" s="4" t="inlineStr">
        <is>
          <t>Costo por taza mín</t>
        </is>
      </c>
      <c r="G10" s="4" t="inlineStr">
        <is>
          <t>Costo por taza máx</t>
        </is>
      </c>
      <c r="H10" s="4" t="inlineStr">
        <is>
          <t>Nota</t>
        </is>
      </c>
    </row>
    <row r="11" ht="62" customHeight="1">
      <c r="A11" s="5" t="inlineStr">
        <is>
          <t>Café en grano para empresas (1 kg)</t>
        </is>
      </c>
      <c r="B11" s="10" t="inlineStr">
        <is>
          <t>kg</t>
        </is>
      </c>
      <c r="C11" s="60" t="n">
        <v>19900</v>
      </c>
      <c r="D11" s="60" t="n">
        <v>25900</v>
      </c>
      <c r="E11" s="11" t="n">
        <v>110</v>
      </c>
      <c r="F11" s="61">
        <f>C11/E11</f>
        <v/>
      </c>
      <c r="G11" s="61">
        <f>D11/E11</f>
        <v/>
      </c>
      <c r="H11" s="6" t="inlineStr">
        <is>
          <t>Rinde ~110 tazas por kilo (9 g por espresso, con merma).</t>
        </is>
      </c>
    </row>
    <row r="12" ht="36" customHeight="1">
      <c r="A12" s="5" t="inlineStr">
        <is>
          <t>Pods de café (una por taza)</t>
        </is>
      </c>
      <c r="B12" s="10" t="inlineStr">
        <is>
          <t>pod</t>
        </is>
      </c>
      <c r="C12" s="60" t="n">
        <v>290</v>
      </c>
      <c r="D12" s="60" t="n">
        <v>390</v>
      </c>
      <c r="E12" s="11" t="n">
        <v>1</v>
      </c>
      <c r="F12" s="61">
        <f>C12/E12</f>
        <v/>
      </c>
      <c r="G12" s="61">
        <f>D12/E12</f>
        <v/>
      </c>
      <c r="H12" s="6" t="inlineStr">
        <is>
          <t>Una pod por taza.</t>
        </is>
      </c>
    </row>
    <row r="13" ht="62" customHeight="1">
      <c r="A13" s="7" t="inlineStr">
        <is>
          <t>Bebidas calientes para Café al paso</t>
        </is>
      </c>
      <c r="B13" s="14" t="inlineStr">
        <is>
          <t>kg</t>
        </is>
      </c>
      <c r="C13" s="63" t="n">
        <v>9900</v>
      </c>
      <c r="D13" s="63" t="n">
        <v>13900</v>
      </c>
      <c r="E13" s="15" t="n">
        <v>60</v>
      </c>
      <c r="F13" s="65">
        <f>C13/E13</f>
        <v/>
      </c>
      <c r="G13" s="65">
        <f>D13/E13</f>
        <v/>
      </c>
      <c r="H13" s="8" t="inlineStr">
        <is>
          <t>Chocolate y leche en polvo; complementa al grano.</t>
        </is>
      </c>
    </row>
    <row r="14" ht="23" customHeight="1"/>
    <row r="15" ht="30" customHeight="1">
      <c r="A15" s="4" t="inlineStr">
        <is>
          <t>Servicio</t>
        </is>
      </c>
      <c r="B15" s="4" t="inlineStr">
        <is>
          <t>Descripción</t>
        </is>
      </c>
      <c r="C15" s="4" t="inlineStr">
        <is>
          <t>Mín</t>
        </is>
      </c>
      <c r="D15" s="4" t="inlineStr">
        <is>
          <t>Máx</t>
        </is>
      </c>
      <c r="E15" s="4" t="inlineStr">
        <is>
          <t>Unidad</t>
        </is>
      </c>
      <c r="F15" s="4" t="inlineStr">
        <is>
          <t>Fuente</t>
        </is>
      </c>
    </row>
    <row r="16" ht="49" customHeight="1">
      <c r="A16" s="5" t="inlineStr">
        <is>
          <t>Coffee Experience para eventos</t>
        </is>
      </c>
      <c r="B16" s="10" t="inlineStr">
        <is>
          <t>Barra Marley Coffee con barista, tazas y material de marca para tu evento.</t>
        </is>
      </c>
      <c r="C16" s="60" t="n">
        <v>450000</v>
      </c>
      <c r="D16" s="60" t="n">
        <v>780000</v>
      </c>
      <c r="E16" s="10" t="inlineStr">
        <is>
          <t>por evento (hasta 120 personas, 4 h)</t>
        </is>
      </c>
      <c r="F16" s="6" t="inlineStr">
        <is>
          <t>Servicio que Marley Coffee comunica en su LinkedIn</t>
        </is>
      </c>
    </row>
    <row r="17" ht="62" customHeight="1">
      <c r="A17" s="5" t="inlineStr">
        <is>
          <t>Catering con la marca</t>
        </is>
      </c>
      <c r="B17" s="10" t="inlineStr">
        <is>
          <t>Coffee break con mantel, tazas y café Marley Coffee para reuniones y lanzamientos.</t>
        </is>
      </c>
      <c r="C17" s="60" t="n">
        <v>5900</v>
      </c>
      <c r="D17" s="60" t="n">
        <v>8900</v>
      </c>
      <c r="E17" s="10" t="inlineStr">
        <is>
          <t>por persona (mínimo 30)</t>
        </is>
      </c>
      <c r="F17" s="6" t="inlineStr">
        <is>
          <t>Supuesto académico</t>
        </is>
      </c>
    </row>
    <row r="18" ht="62" customHeight="1">
      <c r="A18" s="5" t="inlineStr">
        <is>
          <t>Punto de activación</t>
        </is>
      </c>
      <c r="B18" s="10" t="inlineStr">
        <is>
          <t>Un módulo Marley Coffee con barista en tu local, hotel o centro comercial por una temporada.</t>
        </is>
      </c>
      <c r="C18" s="60" t="n">
        <v>380000</v>
      </c>
      <c r="D18" s="60" t="n">
        <v>650000</v>
      </c>
      <c r="E18" s="10" t="inlineStr">
        <is>
          <t>por mes</t>
        </is>
      </c>
      <c r="F18" s="6" t="inlineStr">
        <is>
          <t>Supuesto académico</t>
        </is>
      </c>
    </row>
    <row r="19" ht="49" customHeight="1">
      <c r="A19" s="5" t="inlineStr">
        <is>
          <t>Material de marca para tu local</t>
        </is>
      </c>
      <c r="B19" s="10" t="inlineStr">
        <is>
          <t>Frente de barra, piso modular, exhibidor de bolsas y carta con la marca.</t>
        </is>
      </c>
      <c r="C19" s="60" t="n">
        <v>150000</v>
      </c>
      <c r="D19" s="60" t="n">
        <v>420000</v>
      </c>
      <c r="E19" s="10" t="inlineStr">
        <is>
          <t>por local (pago único)</t>
        </is>
      </c>
      <c r="F19" s="6" t="inlineStr">
        <is>
          <t>Supuesto académico</t>
        </is>
      </c>
    </row>
    <row r="20" ht="75" customHeight="1">
      <c r="A20" s="5" t="inlineStr">
        <is>
          <t>Capacitación de barista</t>
        </is>
      </c>
      <c r="B20" s="10" t="inlineStr">
        <is>
          <t>Tu equipo aprende a preparar y cuidar la máquina con un barista de Marley Coffee.</t>
        </is>
      </c>
      <c r="C20" s="60" t="n">
        <v>90000</v>
      </c>
      <c r="D20" s="60" t="n">
        <v>140000</v>
      </c>
      <c r="E20" s="10" t="inlineStr">
        <is>
          <t>por sesión (hasta 6 personas) · condiciones por confirmar</t>
        </is>
      </c>
      <c r="F20" s="6" t="inlineStr">
        <is>
          <t>Supuesto académico</t>
        </is>
      </c>
    </row>
    <row r="21" ht="49" customHeight="1">
      <c r="A21" s="5" t="inlineStr">
        <is>
          <t>Tazas y accesorios de la marca</t>
        </is>
      </c>
      <c r="B21" s="10" t="inlineStr">
        <is>
          <t>Taza mug negra y travel mug Marley Coffee para tu servicio.</t>
        </is>
      </c>
      <c r="C21" s="60" t="n">
        <v>6500</v>
      </c>
      <c r="D21" s="60" t="n">
        <v>8900</v>
      </c>
      <c r="E21" s="10" t="inlineStr">
        <is>
          <t>por taza (mínimo 24)</t>
        </is>
      </c>
      <c r="F21" s="6" t="inlineStr">
        <is>
          <t>Supuesto académico</t>
        </is>
      </c>
    </row>
    <row r="22" ht="49" customHeight="1">
      <c r="A22" s="7" t="inlineStr">
        <is>
          <t>Office Coffee Service</t>
        </is>
      </c>
      <c r="B22" s="14" t="inlineStr">
        <is>
          <t>Reposición programada, mantención de la máquina y soporte para tu operación.</t>
        </is>
      </c>
      <c r="C22" s="63" t="inlineStr">
        <is>
          <t>A cotizar</t>
        </is>
      </c>
      <c r="D22" s="63" t="inlineStr">
        <is>
          <t>A cotizar</t>
        </is>
      </c>
      <c r="E22" s="14" t="inlineStr">
        <is>
          <t>servicio adicional a cotizar</t>
        </is>
      </c>
      <c r="F22" s="8" t="inlineStr">
        <is>
          <t>Servicio que Marley Coffee comunica en su LinkedIn</t>
        </is>
      </c>
    </row>
    <row r="23" ht="23" customHeight="1"/>
    <row r="24" ht="30" customHeight="1">
      <c r="A24" s="4" t="inlineStr">
        <is>
          <t>Referencia pública (dato real)</t>
        </is>
      </c>
      <c r="B24" s="4" t="inlineStr">
        <is>
          <t>Mín</t>
        </is>
      </c>
      <c r="C24" s="4" t="inlineStr">
        <is>
          <t>Máx</t>
        </is>
      </c>
      <c r="D24" s="4" t="inlineStr">
        <is>
          <t>Fuente</t>
        </is>
      </c>
    </row>
    <row r="25" ht="49" customHeight="1">
      <c r="A25" s="5" t="inlineStr">
        <is>
          <t>Café en grano 227 g</t>
        </is>
      </c>
      <c r="B25" s="66" t="n">
        <v>8574</v>
      </c>
      <c r="C25" s="66" t="n">
        <v>15590</v>
      </c>
      <c r="D25" s="6" t="inlineStr">
        <is>
          <t>Tienda pública marleycoffee.cl (API de catálogo VTEX), 12-10-2026</t>
        </is>
      </c>
    </row>
    <row r="26" ht="49" customHeight="1">
      <c r="A26" s="7" t="inlineStr">
        <is>
          <t>Café molido 227 g</t>
        </is>
      </c>
      <c r="B26" s="67" t="n">
        <v>6894</v>
      </c>
      <c r="C26" s="67" t="n">
        <v>15590</v>
      </c>
      <c r="D26" s="8" t="inlineStr">
        <is>
          <t>Tienda pública marleycoffee.cl (API de catálogo VTEX), 12-10-2026</t>
        </is>
      </c>
    </row>
    <row r="27" ht="23" customHeight="1"/>
    <row r="28" ht="36" customHeight="1">
      <c r="A28" s="50" t="inlineStr">
        <is>
          <t>Calculadora de costo mensual (cambia las celdas amarillas)</t>
        </is>
      </c>
    </row>
    <row r="29" ht="23" customHeight="1">
      <c r="A29" s="10" t="inlineStr">
        <is>
          <t>Máquina (ID)</t>
        </is>
      </c>
      <c r="B29" s="11" t="inlineStr">
        <is>
          <t>bar</t>
        </is>
      </c>
    </row>
    <row r="30" ht="23" customHeight="1">
      <c r="A30" s="10" t="inlineStr">
        <is>
          <t>Tazas al día</t>
        </is>
      </c>
      <c r="B30" s="11" t="n">
        <v>250</v>
      </c>
    </row>
    <row r="31" ht="23" customHeight="1">
      <c r="A31" s="10" t="inlineStr">
        <is>
          <t>Días de servicio al mes</t>
        </is>
      </c>
      <c r="B31" s="11" t="n">
        <v>26</v>
      </c>
    </row>
    <row r="32" ht="23" customHeight="1">
      <c r="A32" s="10" t="inlineStr">
        <is>
          <t>Modalidad</t>
        </is>
      </c>
      <c r="B32" s="11" t="inlineStr">
        <is>
          <t>arriendo</t>
        </is>
      </c>
    </row>
    <row r="33" ht="23" customHeight="1">
      <c r="A33" s="10" t="inlineStr">
        <is>
          <t>Tazas por unidad de insumo</t>
        </is>
      </c>
      <c r="B33" s="21">
        <f>IF(B29="pods",E12,E11)</f>
        <v/>
      </c>
    </row>
    <row r="34" ht="23" customHeight="1">
      <c r="A34" s="10" t="inlineStr">
        <is>
          <t>Unidades al mes (kg o pods)</t>
        </is>
      </c>
      <c r="B34" s="36">
        <f>B30*B31/B33</f>
        <v/>
      </c>
    </row>
    <row r="35" ht="23" customHeight="1">
      <c r="A35" s="10" t="inlineStr">
        <is>
          <t>Insumo al mes mín</t>
        </is>
      </c>
      <c r="B35" s="61">
        <f>B34*IF(B29="pods",C12,C11)</f>
        <v/>
      </c>
    </row>
    <row r="36" ht="23" customHeight="1">
      <c r="A36" s="10" t="inlineStr">
        <is>
          <t>Insumo al mes máx</t>
        </is>
      </c>
      <c r="B36" s="61">
        <f>B34*IF(B29="pods",D12,D11)</f>
        <v/>
      </c>
    </row>
    <row r="37" ht="36" customHeight="1">
      <c r="A37" s="10" t="inlineStr">
        <is>
          <t>Cuota de la máquina mín (arriendo)</t>
        </is>
      </c>
      <c r="B37" s="61">
        <f>IF(B32="arriendo",INDEX($J$5:$J$8,MATCH(B29,$A$5:$A$8,0)),0)</f>
        <v/>
      </c>
    </row>
    <row r="38" ht="36" customHeight="1">
      <c r="A38" s="10" t="inlineStr">
        <is>
          <t>Cuota de la máquina máx (arriendo)</t>
        </is>
      </c>
      <c r="B38" s="61">
        <f>IF(B32="arriendo",INDEX($K$5:$K$8,MATCH(B29,$A$5:$A$8,0)),0)</f>
        <v/>
      </c>
    </row>
    <row r="39" ht="36" customHeight="1">
      <c r="A39" s="10" t="inlineStr">
        <is>
          <t>Total mensual mín (café + arriendo si aplica)</t>
        </is>
      </c>
      <c r="B39" s="61">
        <f>IF(ISNUMBER(B37),B35+B37,"A cotizar")</f>
        <v/>
      </c>
    </row>
    <row r="40" ht="36" customHeight="1">
      <c r="A40" s="10" t="inlineStr">
        <is>
          <t>Total mensual máx (café + arriendo si aplica)</t>
        </is>
      </c>
      <c r="B40" s="61">
        <f>IF(ISNUMBER(B38),B36+B38,"A cotizar")</f>
        <v/>
      </c>
    </row>
    <row r="41" ht="23" customHeight="1">
      <c r="A41" s="10" t="inlineStr">
        <is>
          <t>Pago único (compra directa) mín</t>
        </is>
      </c>
      <c r="B41" s="61">
        <f>IF(B32="compra",INDEX($H$5:$H$8,MATCH(B29,$A$5:$A$8,0)),0)</f>
        <v/>
      </c>
    </row>
    <row r="42" ht="23" customHeight="1">
      <c r="A42" s="10" t="inlineStr">
        <is>
          <t>Pago único (compra directa) máx</t>
        </is>
      </c>
      <c r="B42" s="61">
        <f>IF(B32="compra",INDEX($I$5:$I$8,MATCH(B29,$A$5:$A$8,0)),0)</f>
        <v/>
      </c>
    </row>
    <row r="43" ht="36" customHeight="1">
      <c r="A43" s="10" t="inlineStr">
        <is>
          <t>Costo por taza mín (mensual ÷ tazas al mes)</t>
        </is>
      </c>
      <c r="B43" s="61">
        <f>IF(AND(ISNUMBER(B39),B30*B31&gt;0),B39/(B30*B31),"A cotizar")</f>
        <v/>
      </c>
    </row>
    <row r="44" ht="36" customHeight="1">
      <c r="A44" s="10" t="inlineStr">
        <is>
          <t>Costo por taza máx (mensual ÷ tazas al mes)</t>
        </is>
      </c>
      <c r="B44" s="61">
        <f>IF(AND(ISNUMBER(B40),B30*B31&gt;0),B40/(B30*B31),"A cotizar")</f>
        <v/>
      </c>
    </row>
    <row r="45" ht="23" customHeight="1"/>
    <row r="46" ht="23" customHeight="1"/>
    <row r="47" ht="36" customHeight="1">
      <c r="A47" s="50" t="inlineStr">
        <is>
          <t>Dos formas de adquirir la máquina</t>
        </is>
      </c>
    </row>
    <row r="48" ht="30" customHeight="1">
      <c r="A48" s="4" t="inlineStr">
        <is>
          <t>Modalidad</t>
        </is>
      </c>
      <c r="B48" s="4" t="inlineStr">
        <is>
          <t>Estado</t>
        </is>
      </c>
      <c r="C48" s="4" t="inlineStr">
        <is>
          <t>Base</t>
        </is>
      </c>
      <c r="D48" s="4" t="inlineStr">
        <is>
          <t>Cómo se presenta</t>
        </is>
      </c>
    </row>
    <row r="49" ht="62" customHeight="1">
      <c r="A49" s="5" t="inlineStr">
        <is>
          <t>Arriendo</t>
        </is>
      </c>
      <c r="B49" s="10" t="inlineStr">
        <is>
          <t>Disponible en el diseño del MVP</t>
        </is>
      </c>
      <c r="C49" s="10" t="inlineStr">
        <is>
          <t>Alcance acordado con el autor, 15-10-2026; rangos académicos a validar con Marley Coffee</t>
        </is>
      </c>
      <c r="D49" s="6" t="inlineStr">
        <is>
          <t>Cuota mensual por el equipo, café y extras separados; la ejecutiva confirma precio y condiciones.</t>
        </is>
      </c>
    </row>
    <row r="50" ht="75" customHeight="1">
      <c r="A50" s="5" t="inlineStr">
        <is>
          <t>Compra directa</t>
        </is>
      </c>
      <c r="B50" s="10" t="inlineStr">
        <is>
          <t>Disponible en el diseño del MVP</t>
        </is>
      </c>
      <c r="C50" s="10" t="inlineStr">
        <is>
          <t>Alcance acordado con el autor, 15-10-2026; no se presenta como oferta oficial vigente</t>
        </is>
      </c>
      <c r="D50" s="6" t="inlineStr">
        <is>
          <t>Pago único por máquina, aparte del café; si no existe rango sustentado: A cotizar. Precio y condiciones sujetos a confirmación.</t>
        </is>
      </c>
    </row>
    <row r="51" ht="88" customHeight="1">
      <c r="A51" s="7" t="inlineStr">
        <is>
          <t>Lectura de la calculadora</t>
        </is>
      </c>
      <c r="B51" s="14" t="inlineStr">
        <is>
          <t>Montos CLP sin IVA; sin extras ni instalación</t>
        </is>
      </c>
      <c r="C51" s="14" t="inlineStr">
        <is>
          <t>Supuestos académicos, no tarifa comercial</t>
        </is>
      </c>
      <c r="D51" s="8" t="inlineStr">
        <is>
          <t>El total mensual suma café y arriendo cuando aplica; el pago único de compra directa se muestra aparte. Con 250 tazas/día × 26 días: 6.500 tazas/mes; grano a 110 tazas/kg.</t>
        </is>
      </c>
    </row>
  </sheetData>
  <mergeCells count="1">
    <mergeCell ref="A2:K2"/>
  </mergeCells>
  <dataValidations count="2">
    <dataValidation sqref="B29" showDropDown="0" showInputMessage="0" showErrorMessage="0" allowBlank="0" type="list">
      <formula1>=$A$5:$A$8</formula1>
    </dataValidation>
    <dataValidation sqref="B32" showDropDown="0" showInputMessage="0" showErrorMessage="1" allowBlank="0" errorTitle="Elige una modalidad" error="Solo arriendo o compra directa." type="list" errorStyle="stop">
      <formula1>"arriendo,compra"</formula1>
    </dataValidation>
  </dataValidations>
  <pageMargins left="0.75" right="0.75" top="1" bottom="1" header="0.5" footer="0.5"/>
  <pageSetup orientation="landscape" fitToHeight="0" fitToWidth="1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2" customWidth="1" min="3" max="3"/>
    <col width="10" customWidth="1" min="4" max="4"/>
    <col width="60" customWidth="1" min="5" max="5"/>
    <col width="56" customWidth="1" min="6" max="6"/>
    <col width="36" customWidth="1" min="7" max="7"/>
  </cols>
  <sheetData>
    <row r="1" ht="28" customHeight="1">
      <c r="A1" s="1" t="inlineStr">
        <is>
          <t>CRM por rol: cada rol ve lo que necesita para decidir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R00 ingreso de trabajadores con usuario y contraseña. Las métricas generales (R05, R14, R15) son solo de la jefatura. Usuarios de demostración.</t>
        </is>
      </c>
    </row>
    <row r="3"/>
    <row r="4" ht="30" customHeight="1">
      <c r="A4" s="4" t="inlineStr">
        <is>
          <t>Rol</t>
        </is>
      </c>
      <c r="B4" s="4" t="inlineStr">
        <is>
          <t>Usuario (demo)</t>
        </is>
      </c>
      <c r="C4" s="4" t="inlineStr">
        <is>
          <t>Pregunta que decide</t>
        </is>
      </c>
      <c r="D4" s="4" t="inlineStr">
        <is>
          <t>Inicio</t>
        </is>
      </c>
      <c r="E4" s="4" t="inlineStr">
        <is>
          <t>Menú (5 secciones)</t>
        </is>
      </c>
      <c r="F4" s="4" t="inlineStr">
        <is>
          <t>Qué ve</t>
        </is>
      </c>
      <c r="G4" s="4" t="inlineStr">
        <is>
          <t>Qué no ve</t>
        </is>
      </c>
    </row>
    <row r="5">
      <c r="A5" s="5" t="inlineStr">
        <is>
          <t>Ventas</t>
        </is>
      </c>
      <c r="B5" s="10" t="inlineStr">
        <is>
          <t>Paula Díaz · Ejecutiva Zona Oriente</t>
        </is>
      </c>
      <c r="C5" s="10" t="inlineStr">
        <is>
          <t>A quién atender ahora y qué ofrecer</t>
        </is>
      </c>
      <c r="D5" s="10" t="inlineStr">
        <is>
          <t>R01</t>
        </is>
      </c>
      <c r="E5" s="10" t="inlineStr">
        <is>
          <t>R01 Mi día · R02 Conversaciones y llamadas · R03 Mis clientes · R08 Cotizaciones · R10 Agenda</t>
        </is>
      </c>
      <c r="F5" s="10" t="inlineStr">
        <is>
          <t>Dónde está el cliente, qué compra, tipo de negocio, frecuencia, ticket, productos a sugerir, historial, cola de chats y llamadas, agenda y cotizaciones.</t>
        </is>
      </c>
      <c r="G5" s="6" t="inlineStr">
        <is>
          <t>Panel general, equipo y operación.</t>
        </is>
      </c>
    </row>
    <row r="6">
      <c r="A6" s="5" t="inlineStr">
        <is>
          <t>Marketing</t>
        </is>
      </c>
      <c r="B6" s="10" t="inlineStr">
        <is>
          <t>Equipo de marketing · Contenido y campañas</t>
        </is>
      </c>
      <c r="C6" s="10" t="inlineStr">
        <is>
          <t>Qué contenido y a quién</t>
        </is>
      </c>
      <c r="D6" s="10" t="inlineStr">
        <is>
          <t>R11</t>
        </is>
      </c>
      <c r="E6" s="10" t="inlineStr">
        <is>
          <t>R11 Flywheel e indicadores · R12 Leads y puntajes · R13 Contenido personalizado · R06 Mapa · R09 Reglas de puntaje</t>
        </is>
      </c>
      <c r="F6" s="10" t="inlineStr">
        <is>
          <t>Flywheel, MQL, SQL, puntajes, interacciones, lead magnets, origen y campañas, contenido personalizado por segmento y mapa.</t>
        </is>
      </c>
      <c r="G6" s="6" t="inlineStr">
        <is>
          <t>Panel general, equipo y operación.</t>
        </is>
      </c>
    </row>
    <row r="7">
      <c r="A7" s="7" t="inlineStr">
        <is>
          <t>Jefatura</t>
        </is>
      </c>
      <c r="B7" s="14" t="inlineStr">
        <is>
          <t>Gerencia comercial · Vista general (solo jefatura)</t>
        </is>
      </c>
      <c r="C7" s="14" t="inlineStr">
        <is>
          <t>Dónde poner recursos y qué aprobar</t>
        </is>
      </c>
      <c r="D7" s="14" t="inlineStr">
        <is>
          <t>R05</t>
        </is>
      </c>
      <c r="E7" s="14" t="inlineStr">
        <is>
          <t>R05 Panel general · R06 Zonas · R14 Equipo y tiempos · R15 Operación · R07 Agentes y aprobaciones</t>
        </is>
      </c>
      <c r="F7" s="14" t="inlineStr">
        <is>
          <t>Panel general (ventas, clientes activos, conversión, ticket, frecuencia, reposición digital, retención, OTIF), zonas, equipo y tiempos, operación, agentes y aprobaciones.</t>
        </is>
      </c>
      <c r="G7" s="8" t="inlineStr">
        <is>
          <t>—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E4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70" customWidth="1" min="3" max="3"/>
    <col width="48" customWidth="1" min="4" max="4"/>
    <col width="13" customWidth="1" min="5" max="5"/>
  </cols>
  <sheetData>
    <row r="1" ht="28" customHeight="1">
      <c r="A1" s="1" t="inlineStr">
        <is>
          <t>SEO y AEO: títulos, datos estructurados e intenciones de búsqueda</t>
        </is>
      </c>
      <c r="B1" s="2" t="n"/>
      <c r="C1" s="2" t="n"/>
      <c r="D1" s="2" t="n"/>
      <c r="E1" s="2" t="n"/>
    </row>
    <row r="2" ht="16" customHeight="1">
      <c r="A2" s="3" t="inlineStr">
        <is>
          <t>Prototipo académico con noindex. En producción se publicaría bajo marleycoffee.cl/empresas con estos títulos y datos estructurados.</t>
        </is>
      </c>
    </row>
    <row r="3"/>
    <row r="4" ht="30" customHeight="1">
      <c r="A4" s="4" t="inlineStr">
        <is>
          <t>Pantalla</t>
        </is>
      </c>
      <c r="B4" s="4" t="inlineStr">
        <is>
          <t>Título (title)</t>
        </is>
      </c>
      <c r="C4" s="4" t="inlineStr">
        <is>
          <t>Descripción (meta description)</t>
        </is>
      </c>
      <c r="D4" s="4" t="inlineStr">
        <is>
          <t>Datos estructurados (JSON-LD)</t>
        </is>
      </c>
    </row>
    <row r="5">
      <c r="A5" s="5" t="inlineStr">
        <is>
          <t>C02</t>
        </is>
      </c>
      <c r="B5" s="10" t="inlineStr">
        <is>
          <t>Café para empresas, hoteles y restaurantes | Marley Coffee Empresas</t>
        </is>
      </c>
      <c r="C5" s="10" t="inlineStr">
        <is>
          <t>Máquinas de café en arriendo o compra directa, café orgánico y servicios para eventos. Recomendación en 1 minuto y ejecutiva de tu zona.</t>
        </is>
      </c>
      <c r="D5" s="6" t="inlineStr">
        <is>
          <t>Organization, Product (4 máquinas), Service (Coffee Experience, Office Coffee Service), FAQPage, BreadcrumbList</t>
        </is>
      </c>
    </row>
    <row r="6">
      <c r="A6" s="5" t="inlineStr">
        <is>
          <t>C03</t>
        </is>
      </c>
      <c r="B6" s="10" t="inlineStr">
        <is>
          <t>Tus datos para coordinar | Marley Coffee Empresas</t>
        </is>
      </c>
      <c r="C6" s="10" t="inlineStr">
        <is>
          <t>Deja tu nombre y tu WhatsApp para que una ejecutiva de tu zona confirme tu propuesta de café para empresas.</t>
        </is>
      </c>
      <c r="D6" s="6" t="inlineStr">
        <is>
          <t>Organization, BreadcrumbList</t>
        </is>
      </c>
    </row>
    <row r="7">
      <c r="A7" s="5" t="inlineStr">
        <is>
          <t>C04</t>
        </is>
      </c>
      <c r="B7" s="10" t="inlineStr">
        <is>
          <t>Tu negocio en 3 pasos | Marley Coffee Empresas</t>
        </is>
      </c>
      <c r="C7" s="10" t="inlineStr">
        <is>
          <t>Tres pasos para recomendarte la máquina, el café y la ejecutiva de tu zona.</t>
        </is>
      </c>
      <c r="D7" s="6" t="inlineStr">
        <is>
          <t>Organization, BreadcrumbList</t>
        </is>
      </c>
    </row>
    <row r="8">
      <c r="A8" s="5" t="inlineStr">
        <is>
          <t>C05</t>
        </is>
      </c>
      <c r="B8" s="10" t="inlineStr">
        <is>
          <t>Tu propuesta de café para empresas | Marley Coffee Empresas</t>
        </is>
      </c>
      <c r="C8" s="10" t="inlineStr">
        <is>
          <t>Máquina sugerida, café al mes y precio mensual estimado al instante. Acéptala o habla con una ejecutiva de tu zona.</t>
        </is>
      </c>
      <c r="D8" s="6" t="inlineStr">
        <is>
          <t>Organization, BreadcrumbList</t>
        </is>
      </c>
    </row>
    <row r="9">
      <c r="A9" s="5" t="inlineStr">
        <is>
          <t>C06</t>
        </is>
      </c>
      <c r="B9" s="10" t="inlineStr">
        <is>
          <t>Mi portal | Marley Coffee Empresas</t>
        </is>
      </c>
      <c r="C9" s="10" t="inlineStr">
        <is>
          <t>Tu propuesta, los próximos pasos y la conversación con tu ejecutiva.</t>
        </is>
      </c>
      <c r="D9" s="6" t="inlineStr">
        <is>
          <t>Organization, BreadcrumbList</t>
        </is>
      </c>
    </row>
    <row r="10">
      <c r="A10" s="5" t="inlineStr">
        <is>
          <t>C07</t>
        </is>
      </c>
      <c r="B10" s="10" t="inlineStr">
        <is>
          <t>Ajusta tu propuesta de café | Marley Coffee Empresas</t>
        </is>
      </c>
      <c r="C10" s="10" t="inlineStr">
        <is>
          <t>Rangos de precio por tipo de máquina, consumo mensual estimado y servicios recomendados para tu negocio.</t>
        </is>
      </c>
      <c r="D10" s="6" t="inlineStr">
        <is>
          <t>Organization, Product (4 máquinas), BreadcrumbList</t>
        </is>
      </c>
    </row>
    <row r="11">
      <c r="A11" s="5" t="inlineStr">
        <is>
          <t>C08</t>
        </is>
      </c>
      <c r="B11" s="10" t="inlineStr">
        <is>
          <t>Casos: café en hoteles, restaurantes, cafeterías y eventos | Marley Coffee Empresas</t>
        </is>
      </c>
      <c r="C11" s="10" t="inlineStr">
        <is>
          <t>Recorre cómo se vive Marley Coffee en cada tipo de negocio.</t>
        </is>
      </c>
      <c r="D11" s="6" t="inlineStr">
        <is>
          <t>Organization, BreadcrumbList</t>
        </is>
      </c>
    </row>
    <row r="12">
      <c r="A12" s="7" t="inlineStr">
        <is>
          <t>C09</t>
        </is>
      </c>
      <c r="B12" s="14" t="inlineStr">
        <is>
          <t>Mi cuenta | Marley Coffee Empresas</t>
        </is>
      </c>
      <c r="C12" s="14" t="inlineStr">
        <is>
          <t>Repite tu pedido, programa avisos de reposición y pide servicios para tu negocio.</t>
        </is>
      </c>
      <c r="D12" s="8" t="inlineStr">
        <is>
          <t>Organization, BreadcrumbList</t>
        </is>
      </c>
    </row>
    <row r="13"/>
    <row r="14" ht="30" customHeight="1">
      <c r="A14" s="4" t="inlineStr">
        <is>
          <t>Intención de búsqueda (no marca)</t>
        </is>
      </c>
      <c r="B14" s="4" t="inlineStr">
        <is>
          <t>Tipo</t>
        </is>
      </c>
      <c r="C14" s="4" t="inlineStr">
        <is>
          <t>Página destino</t>
        </is>
      </c>
      <c r="D14" s="4" t="inlineStr">
        <is>
          <t>Bloque que responde</t>
        </is>
      </c>
    </row>
    <row r="15">
      <c r="A15" s="5" t="inlineStr">
        <is>
          <t>café para empresas</t>
        </is>
      </c>
      <c r="B15" s="10" t="inlineStr">
        <is>
          <t>Comercial</t>
        </is>
      </c>
      <c r="C15" s="10" t="inlineStr">
        <is>
          <t>C02 · H1</t>
        </is>
      </c>
      <c r="D15" s="6" t="inlineStr">
        <is>
          <t>Hero y pestañas por negocio</t>
        </is>
      </c>
    </row>
    <row r="16">
      <c r="A16" s="5" t="inlineStr">
        <is>
          <t>máquina de café para empresas</t>
        </is>
      </c>
      <c r="B16" s="10" t="inlineStr">
        <is>
          <t>Comercial</t>
        </is>
      </c>
      <c r="C16" s="10" t="inlineStr">
        <is>
          <t>C02 · Máquinas y C07</t>
        </is>
      </c>
      <c r="D16" s="6" t="inlineStr">
        <is>
          <t>Las 4 barras con su ficha y el cotizador</t>
        </is>
      </c>
    </row>
    <row r="17">
      <c r="A17" s="5" t="inlineStr">
        <is>
          <t>máquina de café para hotel</t>
        </is>
      </c>
      <c r="B17" s="10" t="inlineStr">
        <is>
          <t>Comercial</t>
        </is>
      </c>
      <c r="C17" s="10" t="inlineStr">
        <is>
          <t>C02 · pestaña Hotel</t>
        </is>
      </c>
      <c r="D17" s="6" t="inlineStr">
        <is>
          <t>Bar para el desayuno y Pods en habitaciones</t>
        </is>
      </c>
    </row>
    <row r="18">
      <c r="A18" s="5" t="inlineStr">
        <is>
          <t>arriendo máquina de café</t>
        </is>
      </c>
      <c r="B18" s="10" t="inlineStr">
        <is>
          <t>Transaccional</t>
        </is>
      </c>
      <c r="C18" s="10" t="inlineStr">
        <is>
          <t>C07 cotizador</t>
        </is>
      </c>
      <c r="D18" s="6" t="inlineStr">
        <is>
          <t>Arriendo mensual con café separado y compra directa de equipo</t>
        </is>
      </c>
    </row>
    <row r="19">
      <c r="A19" s="5" t="inlineStr">
        <is>
          <t>café para restaurantes</t>
        </is>
      </c>
      <c r="B19" s="10" t="inlineStr">
        <is>
          <t>Comercial</t>
        </is>
      </c>
      <c r="C19" s="10" t="inlineStr">
        <is>
          <t>C02 · pestaña Restaurante</t>
        </is>
      </c>
      <c r="D19" s="6" t="inlineStr">
        <is>
          <t>Pods y taza de la marca en cada mesa</t>
        </is>
      </c>
    </row>
    <row r="20">
      <c r="A20" s="5" t="inlineStr">
        <is>
          <t>coffee break para empresas</t>
        </is>
      </c>
      <c r="B20" s="10" t="inlineStr">
        <is>
          <t>Comercial</t>
        </is>
      </c>
      <c r="C20" s="10" t="inlineStr">
        <is>
          <t>C02 · servicios</t>
        </is>
      </c>
      <c r="D20" s="6" t="inlineStr">
        <is>
          <t>Catering con branding</t>
        </is>
      </c>
    </row>
    <row r="21">
      <c r="A21" s="5" t="inlineStr">
        <is>
          <t>barra de café para eventos</t>
        </is>
      </c>
      <c r="B21" s="10" t="inlineStr">
        <is>
          <t>Comercial</t>
        </is>
      </c>
      <c r="C21" s="10" t="inlineStr">
        <is>
          <t>C02 · pestaña Eventos y C08</t>
        </is>
      </c>
      <c r="D21" s="6" t="inlineStr">
        <is>
          <t>Coffee Experience</t>
        </is>
      </c>
    </row>
    <row r="22">
      <c r="A22" s="7" t="inlineStr">
        <is>
          <t>cuánto cuesta una taza de café en un negocio</t>
        </is>
      </c>
      <c r="B22" s="14" t="inlineStr">
        <is>
          <t>Informativa (AEO)</t>
        </is>
      </c>
      <c r="C22" s="14" t="inlineStr">
        <is>
          <t>C02 · FAQ</t>
        </is>
      </c>
      <c r="D22" s="8" t="inlineStr">
        <is>
          <t>Respuesta primero: $180 a $390 por taza (supuesto)</t>
        </is>
      </c>
    </row>
    <row r="23"/>
    <row r="24">
      <c r="A24" s="50" t="inlineStr">
        <is>
          <t>Mapa de encabezados por página (revisión 13-10 con el agente SEO de Agent OS: un H1 con la intención, H2 con la tarea o pregunta real, H3 con el detalle; la frase emocional queda como línea chica o párrafo)</t>
        </is>
      </c>
    </row>
    <row r="25" ht="30" customHeight="1">
      <c r="A25" s="4" t="inlineStr">
        <is>
          <t>Página</t>
        </is>
      </c>
      <c r="B25" s="4" t="inlineStr">
        <is>
          <t>Nivel</t>
        </is>
      </c>
      <c r="C25" s="4" t="inlineStr">
        <is>
          <t>Antes</t>
        </is>
      </c>
      <c r="D25" s="4" t="inlineStr">
        <is>
          <t>Ahora</t>
        </is>
      </c>
      <c r="E25" s="4" t="inlineStr">
        <is>
          <t>Intención o consulta que cubre</t>
        </is>
      </c>
    </row>
    <row r="26">
      <c r="A26" s="5" t="inlineStr">
        <is>
          <t>C02 (indexable)</t>
        </is>
      </c>
      <c r="B26" s="10" t="inlineStr">
        <is>
          <t>H1</t>
        </is>
      </c>
      <c r="C26" s="10" t="inlineStr">
        <is>
          <t>El café de tu negocio, con una ejecutiva de tu zona</t>
        </is>
      </c>
      <c r="D26" s="10" t="inlineStr">
        <is>
          <t>Café para empresas: hoteles, restaurantes, cafeterías y eventos · El café de tu negocio, con una ejecutiva de tu zona</t>
        </is>
      </c>
      <c r="E26" s="6" t="inlineStr">
        <is>
          <t>café para empresas (comercial)</t>
        </is>
      </c>
    </row>
    <row r="27">
      <c r="A27" s="5" t="inlineStr">
        <is>
          <t>C02</t>
        </is>
      </c>
      <c r="B27" s="10" t="inlineStr">
        <is>
          <t>H2</t>
        </is>
      </c>
      <c r="C27" s="10" t="inlineStr">
        <is>
          <t>De una taza a todo tu local</t>
        </is>
      </c>
      <c r="D27" s="10" t="inlineStr">
        <is>
          <t>Máquinas de café en arriendo o compra directa</t>
        </is>
      </c>
      <c r="E27" s="6" t="inlineStr">
        <is>
          <t>arriendo / compra máquina de café</t>
        </is>
      </c>
    </row>
    <row r="28">
      <c r="A28" s="5" t="inlineStr">
        <is>
          <t>C02</t>
        </is>
      </c>
      <c r="B28" s="10" t="inlineStr">
        <is>
          <t>H2</t>
        </is>
      </c>
      <c r="C28" s="10" t="inlineStr">
        <is>
          <t>Así se ve en tu negocio</t>
        </is>
      </c>
      <c r="D28" s="10" t="inlineStr">
        <is>
          <t>Café para hoteles, restaurantes, cafeterías y eventos</t>
        </is>
      </c>
      <c r="E28" s="6" t="inlineStr">
        <is>
          <t>café para hoteles · restaurantes · cafeterías</t>
        </is>
      </c>
    </row>
    <row r="29">
      <c r="A29" s="5" t="inlineStr">
        <is>
          <t>C02</t>
        </is>
      </c>
      <c r="B29" s="10" t="inlineStr">
        <is>
          <t>H3</t>
        </is>
      </c>
      <c r="C29" s="10" t="inlineStr">
        <is>
          <t>Del desayuno a la habitación, la misma taza (por pestaña)</t>
        </is>
      </c>
      <c r="D29" s="10" t="inlineStr">
        <is>
          <t>Café para hoteles / restaurantes / cafeterías · Barra de café para eventos (primera línea del H3)</t>
        </is>
      </c>
      <c r="E29" s="6" t="inlineStr">
        <is>
          <t>una intención por tipo de negocio</t>
        </is>
      </c>
    </row>
    <row r="30">
      <c r="A30" s="5" t="inlineStr">
        <is>
          <t>C02</t>
        </is>
      </c>
      <c r="B30" s="10" t="inlineStr">
        <is>
          <t>H2</t>
        </is>
      </c>
      <c r="C30" s="10" t="inlineStr">
        <is>
          <t>Elige por cómo sirves, no por catálogo</t>
        </is>
      </c>
      <c r="D30" s="10" t="inlineStr">
        <is>
          <t>Máquinas de café para empresas: arriendo o compra directa</t>
        </is>
      </c>
      <c r="E30" s="6" t="inlineStr">
        <is>
          <t>máquina de café para empresas</t>
        </is>
      </c>
    </row>
    <row r="31">
      <c r="A31" s="5" t="inlineStr">
        <is>
          <t>C02</t>
        </is>
      </c>
      <c r="B31" s="10" t="inlineStr">
        <is>
          <t>H3</t>
        </is>
      </c>
      <c r="C31" s="10" t="inlineStr">
        <is>
          <t>(nombres en negrita)</t>
        </is>
      </c>
      <c r="D31" s="10" t="inlineStr">
        <is>
          <t>Bar · Oficina · Café al paso · Pods (fichas de las 4 barras)</t>
        </is>
      </c>
      <c r="E31" s="6" t="inlineStr">
        <is>
          <t>entidades de producto (coinciden con Product)</t>
        </is>
      </c>
    </row>
    <row r="32">
      <c r="A32" s="5" t="inlineStr">
        <is>
          <t>C02</t>
        </is>
      </c>
      <c r="B32" s="10" t="inlineStr">
        <is>
          <t>H2</t>
        </is>
      </c>
      <c r="C32" s="10" t="inlineStr">
        <is>
          <t>Más que café: experiencias con la marca</t>
        </is>
      </c>
      <c r="D32" s="10" t="inlineStr">
        <is>
          <t>Servicios de café para eventos y catering</t>
        </is>
      </c>
      <c r="E32" s="6" t="inlineStr">
        <is>
          <t>coffee break para empresas · barra de café para eventos</t>
        </is>
      </c>
    </row>
    <row r="33">
      <c r="A33" s="5" t="inlineStr">
        <is>
          <t>C02</t>
        </is>
      </c>
      <c r="B33" s="10" t="inlineStr">
        <is>
          <t>H2 / H3</t>
        </is>
      </c>
      <c r="C33" s="10" t="inlineStr">
        <is>
          <t>Tres pasos, una persona (pasos en negrita)</t>
        </is>
      </c>
      <c r="D33" s="10" t="inlineStr">
        <is>
          <t>Cómo cotizar café para tu empresa · H3 por paso</t>
        </is>
      </c>
      <c r="E33" s="6" t="inlineStr">
        <is>
          <t>cómo cotizar café para empresas</t>
        </is>
      </c>
    </row>
    <row r="34">
      <c r="A34" s="5" t="inlineStr">
        <is>
          <t>C02</t>
        </is>
      </c>
      <c r="B34" s="10" t="inlineStr">
        <is>
          <t>H2 / H3</t>
        </is>
      </c>
      <c r="C34" s="10" t="inlineStr">
        <is>
          <t>Lo que preguntan los negocios (preguntas sin título)</t>
        </is>
      </c>
      <c r="D34" s="10" t="inlineStr">
        <is>
          <t>Preguntas frecuentes sobre café para empresas · cada pregunta como H3</t>
        </is>
      </c>
      <c r="E34" s="6" t="inlineStr">
        <is>
          <t>AEO: preguntas reales con respuesta primero</t>
        </is>
      </c>
    </row>
    <row r="35">
      <c r="A35" s="5" t="inlineStr">
        <is>
          <t>C02</t>
        </is>
      </c>
      <c r="B35" s="10" t="inlineStr">
        <is>
          <t>H2</t>
        </is>
      </c>
      <c r="C35" s="10" t="inlineStr">
        <is>
          <t>¿Lo imaginas en tu negocio?</t>
        </is>
      </c>
      <c r="D35" s="10" t="inlineStr">
        <is>
          <t>Cotiza el café de tu negocio en 1 minuto</t>
        </is>
      </c>
      <c r="E35" s="6" t="inlineStr">
        <is>
          <t>tarea: cotizar</t>
        </is>
      </c>
    </row>
    <row r="36">
      <c r="A36" s="5" t="inlineStr">
        <is>
          <t>C07 (indexable)</t>
        </is>
      </c>
      <c r="B36" s="10" t="inlineStr">
        <is>
          <t>H1 / H2</t>
        </is>
      </c>
      <c r="C36" s="10" t="inlineStr">
        <is>
          <t>Cotiza tu máquina por tipo de solución · 1 Máquina · 2 Modalidad · 3 Tu consumo · 4 Servicios</t>
        </is>
      </c>
      <c r="D36" s="10" t="inlineStr">
        <is>
          <t>Cotiza tu máquina de café para empresas · Elige la máquina de café · Arriendo o compra directa · Calcula tu consumo de café · Servicios para eventos y catering</t>
        </is>
      </c>
      <c r="E36" s="6" t="inlineStr">
        <is>
          <t>cotizar máquina de café (transaccional)</t>
        </is>
      </c>
    </row>
    <row r="37">
      <c r="A37" s="5" t="inlineStr">
        <is>
          <t>C08 (indexable)</t>
        </is>
      </c>
      <c r="B37" s="10" t="inlineStr">
        <is>
          <t>H1 / H2</t>
        </is>
      </c>
      <c r="C37" s="10" t="inlineStr">
        <is>
          <t>Así se vive Marley Coffee en tu negocio · Un café para todo el día del huésped</t>
        </is>
      </c>
      <c r="D37" s="10" t="inlineStr">
        <is>
          <t>Casos de café para empresas · Así se vive… / H2 con primera línea «Café para hoteles» (cambia con la pestaña)</t>
        </is>
      </c>
      <c r="E37" s="6" t="inlineStr">
        <is>
          <t>casos de café por tipo de negocio</t>
        </is>
      </c>
    </row>
    <row r="38">
      <c r="A38" s="7" t="inlineStr">
        <is>
          <t>C03–C06, C09 (privadas, noindex)</t>
        </is>
      </c>
      <c r="B38" s="14" t="inlineStr">
        <is>
          <t>Estructura</t>
        </is>
      </c>
      <c r="C38" s="14" t="inlineStr">
        <is>
          <t>H2 antes del H1 (C03); salto H1 → H3 (C06, C09); promesas con nombre</t>
        </is>
      </c>
      <c r="D38" s="14" t="inlineStr">
        <is>
          <t>Un H1 primero, sin saltos de nivel; textos generales («una ejecutiva de tu zona»)</t>
        </is>
      </c>
      <c r="E38" s="8" t="inlineStr">
        <is>
          <t>accesibilidad y orden de lectura</t>
        </is>
      </c>
    </row>
    <row r="39"/>
    <row r="40">
      <c r="A40" s="50" t="inlineStr">
        <is>
          <t>FAQ con respuesta primero (FAQPage)</t>
        </is>
      </c>
    </row>
    <row r="41">
      <c r="A41" s="10" t="inlineStr">
        <is>
          <t>¿Puedo arrendar o comprar la máquina?</t>
        </is>
      </c>
      <c r="B41" s="10" t="inlineStr">
        <is>
          <t>Puedes elegir arriendo mensual o compra directa. El consumo de café se calcula aparte y la ejecutiva confirma precio, instalación y condiciones. Los valores mostrados son supuestos académicos; donde falta precio de compra se indica A cotizar.</t>
        </is>
      </c>
    </row>
    <row r="42">
      <c r="A42" s="10" t="inlineStr">
        <is>
          <t>¿Qué máquina de café conviene para un hotel?</t>
        </is>
      </c>
      <c r="B42" s="10" t="inlineStr">
        <is>
          <t>Bar para el desayuno con barista, Pods para habitaciones o room service y Oficina para un buffet de autoservicio. La propuesta sale al instante con 3 pasos (tu negocio, tu local y cómo sirves).</t>
        </is>
      </c>
    </row>
    <row r="43">
      <c r="A43" s="10" t="inlineStr">
        <is>
          <t>¿Cuánto cuesta una taza de café para mi negocio?</t>
        </is>
      </c>
      <c r="B43" s="10" t="inlineStr">
        <is>
          <t>Entre $180 y $390 por taza según el formato: grano rinde unas 110 tazas por kilo y cada pod es una taza. Son precios supuestos para este prototipo.</t>
        </is>
      </c>
    </row>
    <row r="44">
      <c r="A44" s="10" t="inlineStr">
        <is>
          <t>¿Despachan café a empresas fuera de Santiago?</t>
        </is>
      </c>
      <c r="B44" s="10" t="inlineStr">
        <is>
          <t>Sí. En la Región Metropolitana el despacho va por ruta según la comuna; en regiones, por transporte, con plazo de 72 a 96 horas según el caso.</t>
        </is>
      </c>
    </row>
    <row r="45">
      <c r="A45" s="10" t="inlineStr">
        <is>
          <t>¿Puedo hablar con una persona antes de cotizar?</t>
        </is>
      </c>
      <c r="B45" s="10" t="inlineStr">
        <is>
          <t>Sí. Te atiende la ejecutiva de tu zona por chat, llamada o correo, y ve tu diagnóstico para que no repitas nada.</t>
        </is>
      </c>
    </row>
    <row r="46">
      <c r="A46" s="10" t="inlineStr">
        <is>
          <t>¿Hacen eventos y catering con la marca Marley Coffee?</t>
        </is>
      </c>
      <c r="B46" s="10" t="inlineStr">
        <is>
          <t>Sí: Coffee Experience para eventos, catering con branding, puntos de activación y material POP para tu local.</t>
        </is>
      </c>
    </row>
    <row r="47">
      <c r="A47" s="10" t="inlineStr">
        <is>
          <t>¿El café Marley Coffee es orgánico?</t>
        </is>
      </c>
      <c r="B47" s="10" t="inlineStr">
        <is>
          <t>Parte del catálogo es orgánico certificado, como Keep On Moving en grano y molido.</t>
        </is>
      </c>
    </row>
  </sheetData>
  <mergeCells count="1">
    <mergeCell ref="A2:E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3.xml><?xml version="1.0" encoding="utf-8"?>
<worksheet xmlns="http://schemas.openxmlformats.org/spreadsheetml/2006/main">
  <sheetPr>
    <tabColor rgb="005E7E29"/>
    <outlinePr summaryBelow="1" summaryRight="1"/>
    <pageSetUpPr fitToPage="1"/>
  </sheetPr>
  <dimension ref="A1:I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8" customWidth="1" min="3" max="3"/>
    <col width="40" customWidth="1" min="4" max="4"/>
    <col width="46" customWidth="1" min="5" max="5"/>
    <col width="30" customWidth="1" min="6" max="6"/>
    <col width="26" customWidth="1" min="7" max="7"/>
    <col width="9" customWidth="1" min="8" max="8"/>
    <col width="18" customWidth="1" min="9" max="9"/>
  </cols>
  <sheetData>
    <row r="1" ht="28" customHeight="1">
      <c r="A1" s="1" t="inlineStr">
        <is>
          <t>Cambios después del test con usuarios (v5 → v6)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3" t="inlineStr">
        <is>
          <t>Cada cambio sale de un problema observado el 15-10-2026 (participantes con código) y de las notas del moderador. La meta se mide en la ronda 2 con 2 o 3 personas. Fuente: análisis del test (6_TEST_USABILIDAD) y hojas 08 a 10.</t>
        </is>
      </c>
    </row>
    <row r="3"/>
    <row r="4" ht="30" customHeight="1">
      <c r="A4" s="4" t="inlineStr">
        <is>
          <t>ID</t>
        </is>
      </c>
      <c r="B4" s="4" t="inlineStr">
        <is>
          <t>Pantalla</t>
        </is>
      </c>
      <c r="C4" s="4" t="inlineStr">
        <is>
          <t>Problema observado</t>
        </is>
      </c>
      <c r="D4" s="4" t="inlineStr">
        <is>
          <t>Evidencia</t>
        </is>
      </c>
      <c r="E4" s="4" t="inlineStr">
        <is>
          <t>Cambio aplicado en v6</t>
        </is>
      </c>
      <c r="F4" s="4" t="inlineStr">
        <is>
          <t>Cómo se mide en la ronda 2</t>
        </is>
      </c>
      <c r="G4" s="4" t="inlineStr">
        <is>
          <t>Meta</t>
        </is>
      </c>
      <c r="H4" s="4" t="inlineStr">
        <is>
          <t>Hallazgo</t>
        </is>
      </c>
      <c r="I4" s="4" t="inlineStr">
        <is>
          <t>Estado</t>
        </is>
      </c>
    </row>
    <row r="5">
      <c r="A5" s="5" t="inlineStr">
        <is>
          <t>M01</t>
        </is>
      </c>
      <c r="B5" s="10" t="inlineStr">
        <is>
          <t>C01 tienda</t>
        </is>
      </c>
      <c r="C5" s="10" t="inlineStr">
        <is>
          <t>Empresas escondida en el menú del celular</t>
        </is>
      </c>
      <c r="D5" s="10" t="inlineStr">
        <is>
          <t>2 de 2 en celular no hallaron el menú (P2, P3)</t>
        </is>
      </c>
      <c r="E5" s="10" t="inlineStr">
        <is>
          <t>«MENÚ» bajo el ícono y franja «¿Compras para tu negocio? Empresas →»</t>
        </is>
      </c>
      <c r="F5" s="10" t="inlineStr">
        <is>
          <t>Segundos hasta Empresas en celular</t>
        </is>
      </c>
      <c r="G5" s="10" t="inlineStr">
        <is>
          <t>≤ 10 s, sin ayuda</t>
        </is>
      </c>
      <c r="H5" s="10" t="inlineStr">
        <is>
          <t>H22</t>
        </is>
      </c>
      <c r="I5" s="6" t="inlineStr">
        <is>
          <t>Aplicado</t>
        </is>
      </c>
    </row>
    <row r="6">
      <c r="A6" s="5" t="inlineStr">
        <is>
          <t>M02</t>
        </is>
      </c>
      <c r="B6" s="10" t="inlineStr">
        <is>
          <t>C02 → C03</t>
        </is>
      </c>
      <c r="C6" s="10" t="inlineStr">
        <is>
          <t>El formulario era lento (44 a 50 s)</t>
        </is>
      </c>
      <c r="D6" s="10" t="inlineStr">
        <is>
          <t>Formulario: 44 a 50 s, ¼ del recorrido (P1, P2, P3)</t>
        </is>
      </c>
      <c r="E6" s="10" t="inlineStr">
        <is>
          <t>Formulario corto al principio (v6.1): 3 datos con +56 9 escrito y la comuna en el paso 2; sigue antes del diagnóstico para recuperar a quien abandona</t>
        </is>
      </c>
      <c r="F6" s="10" t="inlineStr">
        <is>
          <t>Tiempo en los datos y recorrido completo</t>
        </is>
      </c>
      <c r="G6" s="10" t="inlineStr">
        <is>
          <t>Datos ≤ 30 s; recorrido ≤ 150 s</t>
        </is>
      </c>
      <c r="H6" s="10" t="inlineStr">
        <is>
          <t>H23</t>
        </is>
      </c>
      <c r="I6" s="6" t="inlineStr">
        <is>
          <t>Aplicado</t>
        </is>
      </c>
    </row>
    <row r="7">
      <c r="A7" s="5" t="inlineStr">
        <is>
          <t>M03</t>
        </is>
      </c>
      <c r="B7" s="10" t="inlineStr">
        <is>
          <t>C05</t>
        </is>
      </c>
      <c r="C7" s="10" t="inlineStr">
        <is>
          <t>Modalidad y extras llegaban después de la propuesta</t>
        </is>
      </c>
      <c r="D7" s="10" t="inlineStr">
        <is>
          <t>P1 y P3 los querían antes</t>
        </is>
      </c>
      <c r="E7" s="10" t="inlineStr">
        <is>
          <t>Propuesta al instante con la modalidad elegible y extras recomendados apagados</t>
        </is>
      </c>
      <c r="F7" s="10" t="inlineStr">
        <is>
          <t>Personas perdidas entre la solución y la propuesta</t>
        </is>
      </c>
      <c r="G7" s="10" t="inlineStr">
        <is>
          <t>0</t>
        </is>
      </c>
      <c r="H7" s="10" t="inlineStr">
        <is>
          <t>H24</t>
        </is>
      </c>
      <c r="I7" s="6" t="inlineStr">
        <is>
          <t>Aplicado</t>
        </is>
      </c>
    </row>
    <row r="8">
      <c r="A8" s="5" t="inlineStr">
        <is>
          <t>M04</t>
        </is>
      </c>
      <c r="B8" s="10" t="inlineStr">
        <is>
          <t>C06</t>
        </is>
      </c>
      <c r="C8" s="10" t="inlineStr">
        <is>
          <t>No quedaba claro qué seguía</t>
        </is>
      </c>
      <c r="D8" s="10" t="inlineStr">
        <is>
          <t>P2 «se perdió en qué hacer»</t>
        </is>
      </c>
      <c r="E8" s="10" t="inlineStr">
        <is>
          <t>«¡Listo!» con quién escribe, por dónde, cuándo y 3 pasos</t>
        </is>
      </c>
      <c r="F8" s="10" t="inlineStr">
        <is>
          <t>«¿Y ahora qué?» en la ronda 2</t>
        </is>
      </c>
      <c r="G8" s="10" t="inlineStr">
        <is>
          <t>0</t>
        </is>
      </c>
      <c r="H8" s="10" t="inlineStr">
        <is>
          <t>H25</t>
        </is>
      </c>
      <c r="I8" s="6" t="inlineStr">
        <is>
          <t>Aplicado</t>
        </is>
      </c>
    </row>
    <row r="9">
      <c r="A9" s="5" t="inlineStr">
        <is>
          <t>M05</t>
        </is>
      </c>
      <c r="B9" s="10" t="inlineStr">
        <is>
          <t>C07</t>
        </is>
      </c>
      <c r="C9" s="10" t="inlineStr">
        <is>
          <t>Espera de «nueva propuesta» y precios poco visibles</t>
        </is>
      </c>
      <c r="D9" s="10" t="inlineStr">
        <is>
          <t>P3: espera inútil; C07 57,3 s</t>
        </is>
      </c>
      <c r="E9" s="10" t="inlineStr">
        <is>
          <t>Ajustes al instante; precio mensual grande y en color</t>
        </is>
      </c>
      <c r="F9" s="10" t="inlineStr">
        <is>
          <t>Tiempo en la propuesta; precio encontrado sin ayuda</t>
        </is>
      </c>
      <c r="G9" s="10" t="inlineStr">
        <is>
          <t>≤ 30 s; sí</t>
        </is>
      </c>
      <c r="H9" s="10" t="inlineStr">
        <is>
          <t>H25, H30</t>
        </is>
      </c>
      <c r="I9" s="6" t="inlineStr">
        <is>
          <t>Aplicado</t>
        </is>
      </c>
    </row>
    <row r="10">
      <c r="A10" s="5" t="inlineStr">
        <is>
          <t>M06</t>
        </is>
      </c>
      <c r="B10" s="10" t="inlineStr">
        <is>
          <t>R02 conversación</t>
        </is>
      </c>
      <c r="C10" s="10" t="inlineStr">
        <is>
          <t>La ejecutiva no veía lo cotizado ni una propuesta sugerida</t>
        </is>
      </c>
      <c r="D10" s="10" t="inlineStr">
        <is>
          <t>P4 no logró T7 (facilidad 2, SUS 27,5)</t>
        </is>
      </c>
      <c r="E10" s="10" t="inlineStr">
        <is>
          <t>«Lo que cotizó el cliente» en vivo y tarjeta del agente con «Enviar propuesta sugerida»</t>
        </is>
      </c>
      <c r="F10" s="10" t="inlineStr">
        <is>
          <t>T7 sin ayuda y facilidad</t>
        </is>
      </c>
      <c r="G10" s="10" t="inlineStr">
        <is>
          <t>Logrado; facilidad ≥ 5</t>
        </is>
      </c>
      <c r="H10" s="10" t="inlineStr">
        <is>
          <t>H31</t>
        </is>
      </c>
      <c r="I10" s="6" t="inlineStr">
        <is>
          <t>Aplicado</t>
        </is>
      </c>
    </row>
    <row r="11">
      <c r="A11" s="5" t="inlineStr">
        <is>
          <t>M07</t>
        </is>
      </c>
      <c r="B11" s="10" t="inlineStr">
        <is>
          <t>CRM</t>
        </is>
      </c>
      <c r="C11" s="10" t="inlineStr">
        <is>
          <t>Botones sin jerarquía y toques que caían entre botones</t>
        </is>
      </c>
      <c r="D11" s="10" t="inlineStr">
        <is>
          <t>P4 y P5; toques entre «Llamar» y «Preparar propuesta»</t>
        </is>
      </c>
      <c r="E11" s="10" t="inlineStr">
        <is>
          <t>Principal en amarillo; secundarias con contorno; 44 px y 8 px de separación; la onda ya no agranda el botón</t>
        </is>
      </c>
      <c r="F11" s="10" t="inlineStr">
        <is>
          <t>Toques sin respuesta</t>
        </is>
      </c>
      <c r="G11" s="10" t="inlineStr">
        <is>
          <t>≤ 10 %</t>
        </is>
      </c>
      <c r="H11" s="10" t="inlineStr">
        <is>
          <t>H32, H33</t>
        </is>
      </c>
      <c r="I11" s="6" t="inlineStr">
        <is>
          <t>Aplicado</t>
        </is>
      </c>
    </row>
    <row r="12">
      <c r="A12" s="5" t="inlineStr">
        <is>
          <t>M08</t>
        </is>
      </c>
      <c r="B12" s="10" t="inlineStr">
        <is>
          <t>CRM</t>
        </is>
      </c>
      <c r="C12" s="10" t="inlineStr">
        <is>
          <t>Cosas con aspecto de botón que no hacían nada</t>
        </is>
      </c>
      <c r="D12" s="10" t="inlineStr">
        <is>
          <t>19 de 33 toques sin respuesta (58 %)</t>
        </is>
      </c>
      <c r="E12" s="10" t="inlineStr">
        <is>
          <t>Campana con avisos, tarjeta que abre la ficha, indicadores con detalle</t>
        </is>
      </c>
      <c r="F12" s="10" t="inlineStr">
        <is>
          <t>Toques sin respuesta</t>
        </is>
      </c>
      <c r="G12" s="10" t="inlineStr">
        <is>
          <t>≤ 10 %</t>
        </is>
      </c>
      <c r="H12" s="10" t="inlineStr">
        <is>
          <t>H32</t>
        </is>
      </c>
      <c r="I12" s="6" t="inlineStr">
        <is>
          <t>Aplicado</t>
        </is>
      </c>
    </row>
    <row r="13">
      <c r="A13" s="5" t="inlineStr">
        <is>
          <t>M09</t>
        </is>
      </c>
      <c r="B13" s="10" t="inlineStr">
        <is>
          <t>R05 jefatura</t>
        </is>
      </c>
      <c r="C13" s="10" t="inlineStr">
        <is>
          <t>Panel sin jerarquía, sin detalle ni cruces; en celular se perdían los gráficos</t>
        </is>
      </c>
      <c r="D13" s="10" t="inlineStr">
        <is>
          <t>P5 tocó 10 indicadores en 11 s</t>
        </is>
      </c>
      <c r="E13" s="10" t="inlineStr">
        <is>
          <t>3 indicadores principales con color, filtros de período y zona, detalle al tocar, gráficos y agentes en celular</t>
        </is>
      </c>
      <c r="F13" s="10" t="inlineStr">
        <is>
          <t>Tiempo de T9 y facilidad</t>
        </is>
      </c>
      <c r="G13" s="10" t="inlineStr">
        <is>
          <t>≤ 45 s; facilidad ≥ 6</t>
        </is>
      </c>
      <c r="H13" s="10" t="inlineStr">
        <is>
          <t>H33, H34</t>
        </is>
      </c>
      <c r="I13" s="6" t="inlineStr">
        <is>
          <t>Aplicado</t>
        </is>
      </c>
    </row>
    <row r="14">
      <c r="A14" s="5" t="inlineStr">
        <is>
          <t>M10</t>
        </is>
      </c>
      <c r="B14" s="10" t="inlineStr">
        <is>
          <t>R00 ingreso</t>
        </is>
      </c>
      <c r="C14" s="10" t="inlineStr">
        <is>
          <t>El usuario escrito no entraba</t>
        </is>
      </c>
      <c r="D14" s="10" t="inlineStr">
        <is>
          <t>P5: 2 intentos, 24 s</t>
        </is>
      </c>
      <c r="E14" s="10" t="inlineStr">
        <is>
          <t>Sin distinguir mayúsculas, tildes, espacios ni dominio; cuentas de un toque</t>
        </is>
      </c>
      <c r="F14" s="10" t="inlineStr">
        <is>
          <t>Ingreso al primer intento</t>
        </is>
      </c>
      <c r="G14" s="10" t="inlineStr">
        <is>
          <t>≤ 10 s</t>
        </is>
      </c>
      <c r="H14" s="10" t="inlineStr">
        <is>
          <t>H35</t>
        </is>
      </c>
      <c r="I14" s="6" t="inlineStr">
        <is>
          <t>Aplicado</t>
        </is>
      </c>
    </row>
    <row r="15">
      <c r="A15" s="5" t="inlineStr">
        <is>
          <t>M11</t>
        </is>
      </c>
      <c r="B15" s="10" t="inlineStr">
        <is>
          <t>C02 Empresas</t>
        </is>
      </c>
      <c r="C15" s="10" t="inlineStr">
        <is>
          <t>Solución arriba, 3 escenas y tarjetas que no respondían</t>
        </is>
      </c>
      <c r="D15" s="10" t="inlineStr">
        <is>
          <t>P2 y P3</t>
        </is>
      </c>
      <c r="E15" s="10" t="inlineStr">
        <is>
          <t>Máquinas primero, 2 momentos, «Ver mi solución» después de las máquinas, soluciones que se pueden tocar; cada negocio ve lo suyo</t>
        </is>
      </c>
      <c r="F15" s="10" t="inlineStr">
        <is>
          <t>Toques sin respuesta en C02</t>
        </is>
      </c>
      <c r="G15" s="10" t="inlineStr">
        <is>
          <t>0</t>
        </is>
      </c>
      <c r="H15" s="10" t="inlineStr">
        <is>
          <t>H26, H27</t>
        </is>
      </c>
      <c r="I15" s="6" t="inlineStr">
        <is>
          <t>Aplicado</t>
        </is>
      </c>
    </row>
    <row r="16">
      <c r="A16" s="5" t="inlineStr">
        <is>
          <t>M12</t>
        </is>
      </c>
      <c r="B16" s="10" t="inlineStr">
        <is>
          <t>C04 diagnóstico</t>
        </is>
      </c>
      <c r="C16" s="10" t="inlineStr">
        <is>
          <t>Preguntas largas y sin «Todas»</t>
        </is>
      </c>
      <c r="D16" s="10" t="inlineStr">
        <is>
          <t>P1 y P2: 13 a 14 toques en las bebidas</t>
        </is>
      </c>
      <c r="E16" s="10" t="inlineStr">
        <is>
          <t>3 pasos, negocio que no se repite, lo típico marcado, «Todas» y vista que sube</t>
        </is>
      </c>
      <c r="F16" s="10" t="inlineStr">
        <is>
          <t>Tiempo y toques en los pasos</t>
        </is>
      </c>
      <c r="G16" s="10" t="inlineStr">
        <is>
          <t>≤ 25 s y ≤ 8 toques</t>
        </is>
      </c>
      <c r="H16" s="10" t="inlineStr">
        <is>
          <t>H28, H29</t>
        </is>
      </c>
      <c r="I16" s="6" t="inlineStr">
        <is>
          <t>Aplicado</t>
        </is>
      </c>
    </row>
    <row r="17">
      <c r="A17" s="5" t="inlineStr">
        <is>
          <t>M13</t>
        </is>
      </c>
      <c r="B17" s="10" t="inlineStr">
        <is>
          <t>R02</t>
        </is>
      </c>
      <c r="C17" s="10" t="inlineStr">
        <is>
          <t>Pidió un mini tutorial</t>
        </is>
      </c>
      <c r="D17" s="10" t="inlineStr">
        <is>
          <t>P4</t>
        </is>
      </c>
      <c r="E17" s="10" t="inlineStr">
        <is>
          <t>Guía de 3 pasos que se marca sola y se cierra</t>
        </is>
      </c>
      <c r="F17" s="10" t="inlineStr">
        <is>
          <t>T7 sin ayuda</t>
        </is>
      </c>
      <c r="G17" s="10" t="inlineStr">
        <is>
          <t>Logrado</t>
        </is>
      </c>
      <c r="H17" s="10" t="inlineStr">
        <is>
          <t>H36</t>
        </is>
      </c>
      <c r="I17" s="6" t="inlineStr">
        <is>
          <t>Aplicado</t>
        </is>
      </c>
    </row>
    <row r="18">
      <c r="A18" s="5" t="inlineStr">
        <is>
          <t>M14</t>
        </is>
      </c>
      <c r="B18" s="10" t="inlineStr">
        <is>
          <t>R02</t>
        </is>
      </c>
      <c r="C18" s="10" t="inlineStr">
        <is>
          <t>Chat chico</t>
        </is>
      </c>
      <c r="D18" s="10" t="inlineStr">
        <is>
          <t>P4</t>
        </is>
      </c>
      <c r="E18" s="10" t="inlineStr">
        <is>
          <t>Chat de 438 a 732 px de ancho; en celular a todo el ancho</t>
        </is>
      </c>
      <c r="F18" s="10" t="inlineStr">
        <is>
          <t>Facilidad de T7</t>
        </is>
      </c>
      <c r="G18" s="10" t="inlineStr">
        <is>
          <t>≥ 5</t>
        </is>
      </c>
      <c r="H18" s="10" t="inlineStr">
        <is>
          <t>H36</t>
        </is>
      </c>
      <c r="I18" s="6" t="inlineStr">
        <is>
          <t>Aplicado</t>
        </is>
      </c>
    </row>
    <row r="19">
      <c r="A19" s="5" t="inlineStr">
        <is>
          <t>M15</t>
        </is>
      </c>
      <c r="B19" s="10" t="inlineStr">
        <is>
          <t>Test</t>
        </is>
      </c>
      <c r="C19" s="10" t="inlineStr">
        <is>
          <t>El informe del test cortaba la línea de tiempo y medía botón por botón</t>
        </is>
      </c>
      <c r="D19" s="10" t="inlineStr">
        <is>
          <t>Notas del moderador y del análisis</t>
        </is>
      </c>
      <c r="E19" s="10" t="inlineStr">
        <is>
          <t>Tiempos por etapa, mapa de calor con toques numerados y línea de tiempo completa en el anexo</t>
        </is>
      </c>
      <c r="F19" s="10" t="inlineStr">
        <is>
          <t>Ronda 2 con el servidor del kit</t>
        </is>
      </c>
      <c r="G19" s="10" t="inlineStr">
        <is>
          <t>Video y CSV guardados</t>
        </is>
      </c>
      <c r="H19" s="10" t="inlineStr">
        <is>
          <t>—</t>
        </is>
      </c>
      <c r="I19" s="6" t="inlineStr">
        <is>
          <t>Aplicado</t>
        </is>
      </c>
    </row>
    <row r="20">
      <c r="A20" s="5" t="inlineStr">
        <is>
          <t>M17</t>
        </is>
      </c>
      <c r="B20" s="10" t="inlineStr">
        <is>
          <t>Todas</t>
        </is>
      </c>
      <c r="C20" s="10" t="inlineStr">
        <is>
          <t>Revisar la versión celular desde el computador</t>
        </is>
      </c>
      <c r="D20" s="10" t="inlineStr">
        <is>
          <t>Pedido del equipo (15-10)</t>
        </is>
      </c>
      <c r="E20" s="10" t="inlineStr">
        <is>
          <t>Botón «Ver en celular» en wireframes, mockups y prototipo: el mismo archivo en 390 × 844</t>
        </is>
      </c>
      <c r="F20" s="10" t="inlineStr">
        <is>
          <t>Ronda 2 en celular</t>
        </is>
      </c>
      <c r="G20" s="10" t="inlineStr">
        <is>
          <t>—</t>
        </is>
      </c>
      <c r="H20" s="10" t="inlineStr">
        <is>
          <t>—</t>
        </is>
      </c>
      <c r="I20" s="6" t="inlineStr">
        <is>
          <t>Aplicado</t>
        </is>
      </c>
    </row>
    <row r="21">
      <c r="A21" s="7" t="inlineStr">
        <is>
          <t>M16</t>
        </is>
      </c>
      <c r="B21" s="14" t="inlineStr">
        <is>
          <t>Ronda 2</t>
        </is>
      </c>
      <c r="C21" s="14" t="inlineStr">
        <is>
          <t>Medir si los cambios funcionaron</t>
        </is>
      </c>
      <c r="D21" s="14" t="inlineStr">
        <is>
          <t>Sin medición no se sabe si mejoró</t>
        </is>
      </c>
      <c r="E21" s="14" t="inlineStr">
        <is>
          <t>Misma tarea con 2 o 3 personas y el kit con servidor</t>
        </is>
      </c>
      <c r="F21" s="14" t="inlineStr">
        <is>
          <t>Las metas de esta hoja</t>
        </is>
      </c>
      <c r="G21" s="14" t="inlineStr">
        <is>
          <t>Cumplir las metas</t>
        </is>
      </c>
      <c r="H21" s="14" t="inlineStr">
        <is>
          <t>—</t>
        </is>
      </c>
      <c r="I21" s="8" t="inlineStr">
        <is>
          <t>Próxima etapa (siguiente evaluación)</t>
        </is>
      </c>
    </row>
  </sheetData>
  <mergeCells count="1">
    <mergeCell ref="A2:I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H4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46" customWidth="1" min="3" max="3"/>
    <col width="52" customWidth="1" min="4" max="4"/>
    <col width="48" customWidth="1" min="5" max="5"/>
    <col width="36" customWidth="1" min="6" max="6"/>
    <col width="52" customWidth="1" min="7" max="7"/>
    <col width="28" customWidth="1" min="8" max="8"/>
  </cols>
  <sheetData>
    <row r="1" ht="28" customHeight="1">
      <c r="A1" s="1" t="inlineStr">
        <is>
          <t>Un mismo acompañamiento: del primer mensaje a la postventa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Propuesta de integración para el piloto; el prototipo demuestra el recorrido y no envía mensajes reales. El cliente conserva su contexto al pasar del sitio a WhatsApp y de la IA a una persona.</t>
        </is>
      </c>
    </row>
    <row r="3"/>
    <row r="4" ht="30" customHeight="1">
      <c r="A4" s="4" t="inlineStr">
        <is>
          <t>Momento</t>
        </is>
      </c>
      <c r="B4" s="4" t="inlineStr">
        <is>
          <t>Qué necesita la persona</t>
        </is>
      </c>
      <c r="C4" s="4" t="inlineStr">
        <is>
          <t>Datos mínimos</t>
        </is>
      </c>
      <c r="D4" s="4" t="inlineStr">
        <is>
          <t>Qué hace la IA</t>
        </is>
      </c>
      <c r="E4" s="4" t="inlineStr">
        <is>
          <t>Quién decide o responde</t>
        </is>
      </c>
      <c r="F4" s="4" t="inlineStr">
        <is>
          <t>Siguiente acción</t>
        </is>
      </c>
      <c r="G4" s="4" t="inlineStr">
        <is>
          <t>Recuperación / límite</t>
        </is>
      </c>
      <c r="H4" s="4" t="inlineStr">
        <is>
          <t>Pantallas</t>
        </is>
      </c>
    </row>
    <row r="5" ht="36" customHeight="1">
      <c r="A5" s="5" t="inlineStr">
        <is>
          <t>Explorar y comparar</t>
        </is>
      </c>
      <c r="B5" s="10" t="inlineStr">
        <is>
          <t>Elegir máquina; comparar arriendo y compra directa</t>
        </is>
      </c>
      <c r="C5" s="10" t="inlineStr">
        <is>
          <t>Negocio, comuna y consumo aproximado; contacto solo al guardar o pedir seguimiento</t>
        </is>
      </c>
      <c r="D5" s="10" t="inlineStr">
        <is>
          <t>Explica la recomendación con sus supuestos y conserva la selección</t>
        </is>
      </c>
      <c r="E5" s="10" t="inlineStr">
        <is>
          <t>Ejecutiva de zona revisa precio, cobertura y condiciones</t>
        </is>
      </c>
      <c r="F5" s="10" t="inlineStr">
        <is>
          <t>Ver propuesta; hablar con una persona</t>
        </is>
      </c>
      <c r="G5" s="10" t="inlineStr">
        <is>
          <t>Si falta dato o el modelo no sabe: reconocerlo y ofrecer traspaso</t>
        </is>
      </c>
      <c r="H5" s="6" t="inlineStr">
        <is>
          <t>C02–C07; R02; R04</t>
        </is>
      </c>
    </row>
    <row r="6" ht="36" customHeight="1">
      <c r="A6" s="5" t="inlineStr">
        <is>
          <t>Contratar</t>
        </is>
      </c>
      <c r="B6" s="10" t="inlineStr">
        <is>
          <t>Ajustar y confirmar la propuesta</t>
        </is>
      </c>
      <c r="C6" s="10" t="inlineStr">
        <is>
          <t>Referencia de propuesta y cambios solicitados</t>
        </is>
      </c>
      <c r="D6" s="10" t="inlineStr">
        <is>
          <t>Prepara resumen de máquina, modalidad, consumo y extras elegidos</t>
        </is>
      </c>
      <c r="E6" s="10" t="inlineStr">
        <is>
          <t>Ejecutiva confirma la oferta y condiciones; cliente acepta expresamente</t>
        </is>
      </c>
      <c r="F6" s="10" t="inlineStr">
        <is>
          <t>Revisar resumen antes de aceptar</t>
        </is>
      </c>
      <c r="G6" s="10" t="inlineStr">
        <is>
          <t>Sin aceptación no hay contratación ni reserva definitiva</t>
        </is>
      </c>
      <c r="H6" s="6" t="inlineStr">
        <is>
          <t>C05–C06; R02; R08</t>
        </is>
      </c>
    </row>
    <row r="7" ht="36" customHeight="1">
      <c r="A7" s="5" t="inlineStr">
        <is>
          <t>Instalar y comenzar</t>
        </is>
      </c>
      <c r="B7" s="10" t="inlineStr">
        <is>
          <t>Consultar entrega, instalación y capacitación</t>
        </is>
      </c>
      <c r="C7" s="10" t="inlineStr">
        <is>
          <t>Cuenta autenticada, sucursal y referencia de pedido</t>
        </is>
      </c>
      <c r="D7" s="10" t="inlineStr">
        <is>
          <t>Lee estado disponible en sistema, muestra fecha de actualización y registra consulta</t>
        </is>
      </c>
      <c r="E7" s="10" t="inlineStr">
        <is>
          <t>Logística o postventa confirma agenda y responsables</t>
        </is>
      </c>
      <c r="F7" s="10" t="inlineStr">
        <is>
          <t>Ver seguimiento; pedir ayuda</t>
        </is>
      </c>
      <c r="G7" s="10" t="inlineStr">
        <is>
          <t>Sin fecha confirmada: mostrar por confirmar y crear tarea</t>
        </is>
      </c>
      <c r="H7" s="6" t="inlineStr">
        <is>
          <t>C09; R02; R04; R10</t>
        </is>
      </c>
    </row>
    <row r="8" ht="36" customHeight="1">
      <c r="A8" s="5" t="inlineStr">
        <is>
          <t>Reponer café</t>
        </is>
      </c>
      <c r="B8" s="10" t="inlineStr">
        <is>
          <t>Repetir un pedido con cambios opcionales</t>
        </is>
      </c>
      <c r="C8" s="10" t="inlineStr">
        <is>
          <t>Cuenta autenticada, sucursal, pedido anterior y cantidades</t>
        </is>
      </c>
      <c r="D8" s="10" t="inlineStr">
        <is>
          <t>Propone borrador con cantidades, precio disponible y dirección</t>
        </is>
      </c>
      <c r="E8" s="10" t="inlineStr">
        <is>
          <t>Ejecutiva valida excepciones; cliente confirma antes de generar pedido</t>
        </is>
      </c>
      <c r="F8" s="10" t="inlineStr">
        <is>
          <t>Revisar pedido; confirmar pedido</t>
        </is>
      </c>
      <c r="G8" s="10" t="inlineStr">
        <is>
          <t>Incidencia crítica: pausar venta y ofrecer atención; sin stock, sugerir alternativa sin imponer</t>
        </is>
      </c>
      <c r="H8" s="6" t="inlineStr">
        <is>
          <t>C09; R02; R04; R10</t>
        </is>
      </c>
    </row>
    <row r="9" ht="36" customHeight="1">
      <c r="A9" s="5" t="inlineStr">
        <is>
          <t>Resolver un problema</t>
        </is>
      </c>
      <c r="B9" s="10" t="inlineStr">
        <is>
          <t>Máquina detenida, pedido incompleto o retraso</t>
        </is>
      </c>
      <c r="C9" s="10" t="inlineStr">
        <is>
          <t>Cuenta y sucursal, equipo o pedido, descripción; imagen opcional</t>
        </is>
      </c>
      <c r="D9" s="10" t="inlineStr">
        <is>
          <t>Clasifica, crea ticket y entrega número; no da instrucciones técnicas riesgosas</t>
        </is>
      </c>
      <c r="E9" s="10" t="inlineStr">
        <is>
          <t>Postventa toma el caso y coordina con servicio o logística</t>
        </is>
      </c>
      <c r="F9" s="10" t="inlineStr">
        <is>
          <t>Ver mi caso; hablar con postventa</t>
        </is>
      </c>
      <c r="G9" s="10" t="inlineStr">
        <is>
          <t>Fuera de horario: caso guardado y disponibilidad por confirmar; urgencia operativa se escala</t>
        </is>
      </c>
      <c r="H9" s="6" t="inlineStr">
        <is>
          <t>C09; R02; R04; R07</t>
        </is>
      </c>
    </row>
    <row r="10" ht="36" customHeight="1">
      <c r="A10" s="7" t="inlineStr">
        <is>
          <t>Cerrar y acompañar</t>
        </is>
      </c>
      <c r="B10" s="14" t="inlineStr">
        <is>
          <t>Confirmar solución, evaluar atención y decidir próxima acción</t>
        </is>
      </c>
      <c r="C10" s="14" t="inlineStr">
        <is>
          <t>Ticket y confirmación del cliente; encuesta breve opcional</t>
        </is>
      </c>
      <c r="D10" s="14" t="inlineStr">
        <is>
          <t>Resume la solución y pregunta si quedó resuelto</t>
        </is>
      </c>
      <c r="E10" s="14" t="inlineStr">
        <is>
          <t>Responsable verifica cierre; si no está resuelto, reabre y conserva historial</t>
        </is>
      </c>
      <c r="F10" s="14" t="inlineStr">
        <is>
          <t>Sí, quedó resuelto; sigo con el problema</t>
        </is>
      </c>
      <c r="G10" s="14" t="inlineStr">
        <is>
          <t>Sin respuesta: seguimiento pendiente, no cierre automático; venta se reactiva tras resolución</t>
        </is>
      </c>
      <c r="H10" s="8" t="inlineStr">
        <is>
          <t>C09; R02; R04; R07</t>
        </is>
      </c>
    </row>
    <row r="11" ht="23" customHeight="1"/>
    <row r="12" ht="30" customHeight="1">
      <c r="A12" s="4" t="inlineStr">
        <is>
          <t>Estado</t>
        </is>
      </c>
      <c r="B12" s="4" t="inlineStr">
        <is>
          <t>Cómo entra</t>
        </is>
      </c>
      <c r="C12" s="4" t="inlineStr">
        <is>
          <t>Qué ve la persona</t>
        </is>
      </c>
      <c r="D12" s="4" t="inlineStr">
        <is>
          <t>Control</t>
        </is>
      </c>
    </row>
    <row r="13" ht="36" customHeight="1">
      <c r="A13" s="5" t="inlineStr">
        <is>
          <t>Asistente IA</t>
        </is>
      </c>
      <c r="B13" s="10" t="inlineStr">
        <is>
          <t>Inicio de conversación</t>
        </is>
      </c>
      <c r="C13" s="10" t="inlineStr">
        <is>
          <t>Identidad de IA visible, contexto y botón Hablar con una persona</t>
        </is>
      </c>
      <c r="D13" s="6" t="inlineStr">
        <is>
          <t>IA puede explicar y preparar; no confirmar compromisos comerciales</t>
        </is>
      </c>
    </row>
    <row r="14" ht="36" customHeight="1">
      <c r="A14" s="5" t="inlineStr">
        <is>
          <t>Traspaso solicitado</t>
        </is>
      </c>
      <c r="B14" s="10" t="inlineStr">
        <is>
          <t>El cliente lo pide o la IA no puede resolver</t>
        </is>
      </c>
      <c r="C14" s="10" t="inlineStr">
        <is>
          <t>Resumen de intención, selección, gestiones, permiso y último mensaje</t>
        </is>
      </c>
      <c r="D14" s="6" t="inlineStr">
        <is>
          <t>IA pausa respuestas autónomas y se crea tarea asignable</t>
        </is>
      </c>
    </row>
    <row r="15" ht="36" customHeight="1">
      <c r="A15" s="5" t="inlineStr">
        <is>
          <t>En espera de persona</t>
        </is>
      </c>
      <c r="B15" s="10" t="inlineStr">
        <is>
          <t>No hay responsable disponible</t>
        </is>
      </c>
      <c r="C15" s="10" t="inlineStr">
        <is>
          <t>Caso registrado, canal elegido y disponibilidad por confirmar; alternativa de correo</t>
        </is>
      </c>
      <c r="D15" s="6" t="inlineStr">
        <is>
          <t>No simular ejecutivo conectado ni prometer plazo sin agenda real</t>
        </is>
      </c>
    </row>
    <row r="16" ht="36" customHeight="1">
      <c r="A16" s="5" t="inlineStr">
        <is>
          <t>Atención humana</t>
        </is>
      </c>
      <c r="B16" s="10" t="inlineStr">
        <is>
          <t>Una persona toma la conversación en el CRM</t>
        </is>
      </c>
      <c r="C16" s="10" t="inlineStr">
        <is>
          <t>Nombre y rol del responsable; mismo historial y próximos pasos</t>
        </is>
      </c>
      <c r="D16" s="6" t="inlineStr">
        <is>
          <t>Bloqueo de doble respuesta IA/humano; la persona libera expresamente la atención</t>
        </is>
      </c>
    </row>
    <row r="17" ht="36" customHeight="1">
      <c r="A17" s="5" t="inlineStr">
        <is>
          <t>Esperando cliente</t>
        </is>
      </c>
      <c r="B17" s="10" t="inlineStr">
        <is>
          <t>Se requiere aprobación o un dato</t>
        </is>
      </c>
      <c r="C17" s="10" t="inlineStr">
        <is>
          <t>Una pregunta o un resumen para confirmar; avance guardado</t>
        </is>
      </c>
      <c r="D17" s="6" t="inlineStr">
        <is>
          <t>No emitir pedido, cambiar dirección ni contratar sin confirmación</t>
        </is>
      </c>
    </row>
    <row r="18" ht="36" customHeight="1">
      <c r="A18" s="5" t="inlineStr">
        <is>
          <t>Caso resuelto</t>
        </is>
      </c>
      <c r="B18" s="10" t="inlineStr">
        <is>
          <t>Solución registrada y confirmada</t>
        </is>
      </c>
      <c r="C18" s="10" t="inlineStr">
        <is>
          <t>Resultado, referencia y opción de reabrir</t>
        </is>
      </c>
      <c r="D18" s="6" t="inlineStr">
        <is>
          <t>Reactivar sugerencias comerciales solo cuando corresponda</t>
        </is>
      </c>
    </row>
    <row r="19" ht="36" customHeight="1">
      <c r="A19" s="7" t="inlineStr">
        <is>
          <t>Baja de comunicaciones</t>
        </is>
      </c>
      <c r="B19" s="14" t="inlineStr">
        <is>
          <t>Solicitud de baja dentro o fuera del canal</t>
        </is>
      </c>
      <c r="C19" s="14" t="inlineStr">
        <is>
          <t>Confirmar baja y permitir atención iniciada por el cliente</t>
        </is>
      </c>
      <c r="D19" s="8" t="inlineStr">
        <is>
          <t>Suprimir mensajes proactivos según alcance solicitado y registrar fecha/finalidad</t>
        </is>
      </c>
    </row>
    <row r="20" ht="23" customHeight="1"/>
    <row r="21" ht="30" customHeight="1">
      <c r="A21" s="4" t="inlineStr">
        <is>
          <t>Componente</t>
        </is>
      </c>
      <c r="B21" s="4" t="inlineStr">
        <is>
          <t>Diseño de la integración</t>
        </is>
      </c>
      <c r="C21" s="4" t="inlineStr">
        <is>
          <t>Fuente / estado</t>
        </is>
      </c>
    </row>
    <row r="22" ht="75" customHeight="1">
      <c r="A22" s="5" t="inlineStr">
        <is>
          <t>Canal y alcance</t>
        </is>
      </c>
      <c r="B22" s="10" t="inlineStr">
        <is>
          <t>WhatsApp Business Platform mediante Cloud API; cuenta, número, proveedor y presupuesto por definir con Marley Coffee. Chat web y WhatsApp alimentan una bandeja CRM común.</t>
        </is>
      </c>
      <c r="C22" s="6" t="inlineStr">
        <is>
          <t>Propuesta técnica; no está conectada en esta demostración</t>
        </is>
      </c>
    </row>
    <row r="23" ht="88" customHeight="1">
      <c r="A23" s="5" t="inlineStr">
        <is>
          <t>Entrada y entrega</t>
        </is>
      </c>
      <c r="B23" s="10" t="inlineStr">
        <is>
          <t>Un adaptador recibe eventos y estados de mensajes; registra el evento antes de procesarlo y vincula conversación, cuenta y ticket. Confirma entrega técnica solo si existe evento que la respalde.</t>
        </is>
      </c>
      <c r="C23" s="6" t="inlineStr">
        <is>
          <t>Propuesta de arquitectura a validar con documentación técnica y entorno de prueba de Meta</t>
        </is>
      </c>
    </row>
    <row r="24" ht="101" customHeight="1">
      <c r="A24" s="5" t="inlineStr">
        <is>
          <t>Identidad y aislamiento</t>
        </is>
      </c>
      <c r="B24" s="10" t="inlineStr">
        <is>
          <t>No identificar una cuenta solo por teléfono. Verificar vínculo mediante acceso seguro al portal o método acordado; limitar consultas por cuenta, sucursal y rol. No pedir claves, documentos sensibles ni datos completos de tarjetas en el chat.</t>
        </is>
      </c>
      <c r="C24" s="6" t="inlineStr">
        <is>
          <t>Política WhatsApp, sección 3; diseño de seguridad propuesto</t>
        </is>
      </c>
    </row>
    <row r="25" ht="88" customHeight="1">
      <c r="A25" s="5" t="inlineStr">
        <is>
          <t>Autenticación técnica</t>
        </is>
      </c>
      <c r="B25" s="10" t="inlineStr">
        <is>
          <t>Secretos únicamente en servidor; verificar autenticidad de notificaciones según documentación vigente, usar conexiones cifradas y permisos mínimos. El HTML no lleva claves ni credenciales.</t>
        </is>
      </c>
      <c r="C25" s="6" t="inlineStr">
        <is>
          <t>Diseño propuesto; configuración real pendiente</t>
        </is>
      </c>
    </row>
    <row r="26" ht="101" customHeight="1">
      <c r="A26" s="5" t="inlineStr">
        <is>
          <t>Contrato de evento</t>
        </is>
      </c>
      <c r="B26" s="10" t="inlineStr">
        <is>
          <t>ID externo, conversación, cuenta interna verificada, intención, referencia de propuesta/pedido/ticket, fecha, canal, responsable y estado; permiso guardado por finalidad. Minimizar contenido y fijar retención antes del piloto.</t>
        </is>
      </c>
      <c r="C26" s="6" t="inlineStr">
        <is>
          <t>Contrato propuesto; sin datos personales reales en la entrega académica</t>
        </is>
      </c>
    </row>
    <row r="27" ht="88" customHeight="1">
      <c r="A27" s="5" t="inlineStr">
        <is>
          <t>Idempotencia</t>
        </is>
      </c>
      <c r="B27" s="10" t="inlineStr">
        <is>
          <t>Deduplicar por identificador de evento y usar clave de operación para pedidos/tickets. Un evento repetido no crea dos pedidos ni dos casos; procesar estados fuera de orden sin retroceder indebidamente.</t>
        </is>
      </c>
      <c r="C27" s="6" t="inlineStr">
        <is>
          <t>Criterio técnico propuesto para CRM, ERP y adaptador</t>
        </is>
      </c>
    </row>
    <row r="28" ht="88" customHeight="1">
      <c r="A28" s="5" t="inlineStr">
        <is>
          <t>Reintentos y fallos</t>
        </is>
      </c>
      <c r="B28" s="10" t="inlineStr">
        <is>
          <t>Cola de salida con reintento limitado y espera progresiva; si se agota, tarea visible para una persona. No marcar enviado cuando falló ni repetir el mismo mensaje al recuperar conexión.</t>
        </is>
      </c>
      <c r="C28" s="6" t="inlineStr">
        <is>
          <t>Parámetros y alertas por definir en el piloto</t>
        </is>
      </c>
    </row>
    <row r="29" ht="101" customHeight="1">
      <c r="A29" s="5" t="inlineStr">
        <is>
          <t>Sistemas de negocio</t>
        </is>
      </c>
      <c r="B29" s="10" t="inlineStr">
        <is>
          <t>CRM conserva conversación, responsable y permiso; ERP o plataforma de pedidos confirma stock, precio y operación; sistema de tickets registra incidencia. Si no hay API, usar cola de revisión humana sin inventar confirmación.</t>
        </is>
      </c>
      <c r="C29" s="6" t="inlineStr">
        <is>
          <t>Disponibilidad de API y permisos de Marley Coffee por confirmar</t>
        </is>
      </c>
    </row>
    <row r="30" ht="101" customHeight="1">
      <c r="A30" s="5" t="inlineStr">
        <is>
          <t>Permiso y baja</t>
        </is>
      </c>
      <c r="B30" s="10" t="inlineStr">
        <is>
          <t>Para contactar por WhatsApp se requiere número o usuario entregado y permiso para mensajes posteriores. Registrar finalidad, origen, fecha y retiro; respetar bajas. Distinguir seguimiento de servicio y ofertas, sin casillas premarcadas.</t>
        </is>
      </c>
      <c r="C30" s="6" t="inlineStr">
        <is>
          <t>Política WhatsApp, sección 1 y buenas prácticas de consentimiento</t>
        </is>
      </c>
    </row>
    <row r="31" ht="114" customHeight="1">
      <c r="A31" s="5" t="inlineStr">
        <is>
          <t>Ventana y plantilla</t>
        </is>
      </c>
      <c r="B31" s="10" t="inlineStr">
        <is>
          <t>La ventana de atención de 24 horas se abre y reinicia con cada mensaje del usuario. Para iniciar conversación y para escribir fuera de esa ventana se necesita plantilla aprobada; sin ella, no enviar. No asumir permiso de marketing por una consulta de servicio.</t>
        </is>
      </c>
      <c r="C31" s="6" t="inlineStr">
        <is>
          <t>Política WhatsApp, sección 2; vigencia consultada 15-10-2026</t>
        </is>
      </c>
    </row>
    <row r="32" ht="101" customHeight="1">
      <c r="A32" s="5" t="inlineStr">
        <is>
          <t>Control humano</t>
        </is>
      </c>
      <c r="B32" s="10" t="inlineStr">
        <is>
          <t>Escalamiento claro desde la IA a persona, teléfono, correo o soporte web. El cliente puede pedirlo en cualquier momento. Cambios de contrato, excepciones de precio, compensaciones y agenda definitiva requieren al responsable habilitado.</t>
        </is>
      </c>
      <c r="C32" s="6" t="inlineStr">
        <is>
          <t>Política WhatsApp, sección 2; reglas de negocio propuestas</t>
        </is>
      </c>
    </row>
    <row r="33" ht="88" customHeight="1">
      <c r="A33" s="5" t="inlineStr">
        <is>
          <t>Incidencias y venta</t>
        </is>
      </c>
      <c r="B33" s="10" t="inlineStr">
        <is>
          <t>Ticket crítico abierto pausa campañas, ampliación y referidos. La atención de servicio continúa; al resolver se solicita confirmación. Baja de marketing y problema de servicio son controles distintos.</t>
        </is>
      </c>
      <c r="C33" s="6" t="inlineStr">
        <is>
          <t>Regla propuesta de experiencia y automatización W9</t>
        </is>
      </c>
    </row>
    <row r="34" ht="101" customHeight="1">
      <c r="A34" s="7" t="inlineStr">
        <is>
          <t>Costos y disponibilidad</t>
        </is>
      </c>
      <c r="B34" s="14" t="inlineStr">
        <is>
          <t>Verificar tarifas vigentes, categoría de plantilla, disponibilidad del equipo y condiciones del servicio antes del piloto. No se fijan números telefónicos, proveedor, costo ni plazo de respuesta sin confirmación.</t>
        </is>
      </c>
      <c r="C34" s="8" t="inlineStr">
        <is>
          <t>Por definir con Marley Coffee; consulta oficial de precios antes de contratar</t>
        </is>
      </c>
    </row>
    <row r="35" ht="23" customHeight="1"/>
    <row r="36" ht="36" customHeight="1">
      <c r="A36" s="4" t="inlineStr">
        <is>
          <t>Criterio de aceptación</t>
        </is>
      </c>
      <c r="B36" s="4" t="inlineStr">
        <is>
          <t>Caso a recorrer</t>
        </is>
      </c>
      <c r="C36" s="4" t="inlineStr">
        <is>
          <t>Resultado que se exige</t>
        </is>
      </c>
      <c r="D36" s="4" t="inlineStr">
        <is>
          <t>Medición</t>
        </is>
      </c>
    </row>
    <row r="37" ht="49" customHeight="1">
      <c r="A37" s="5" t="inlineStr">
        <is>
          <t>Contexto continuo</t>
        </is>
      </c>
      <c r="B37" s="10" t="inlineStr">
        <is>
          <t>Pasar de propuesta a chat y a persona</t>
        </is>
      </c>
      <c r="C37" s="10" t="inlineStr">
        <is>
          <t>La persona recibe máquina, modalidad, intención, cambios y referencia; el cliente no repite el diagnóstico</t>
        </is>
      </c>
      <c r="D37" s="6" t="inlineStr">
        <is>
          <t>Conversaciones transferidas con contexto completo / transferencias; meta por definir en piloto</t>
        </is>
      </c>
    </row>
    <row r="38" ht="36" customHeight="1">
      <c r="A38" s="5" t="inlineStr">
        <is>
          <t>Control de envío</t>
        </is>
      </c>
      <c r="B38" s="10" t="inlineStr">
        <is>
          <t>Conversación sin permiso, baja o ventana vencida sin plantilla</t>
        </is>
      </c>
      <c r="C38" s="10" t="inlineStr">
        <is>
          <t>Ningún mensaje proactivo sale; se registra el motivo y se ofrece una ruta permitida</t>
        </is>
      </c>
      <c r="D38" s="6" t="inlineStr">
        <is>
          <t>Envíos bloqueados por motivo; 0 envíos no autorizados en pruebas de aceptación</t>
        </is>
      </c>
    </row>
    <row r="39" ht="36" customHeight="1">
      <c r="A39" s="5" t="inlineStr">
        <is>
          <t>Pedido confirmado</t>
        </is>
      </c>
      <c r="B39" s="10" t="inlineStr">
        <is>
          <t>Solicitar reposición y luego cancelar antes de confirmar</t>
        </is>
      </c>
      <c r="C39" s="10" t="inlineStr">
        <is>
          <t>Se conserva solo un borrador; no nace pedido comercial</t>
        </is>
      </c>
      <c r="D39" s="6" t="inlineStr">
        <is>
          <t>Pedidos sin aceptación expresa: 0 en pruebas de aceptación</t>
        </is>
      </c>
    </row>
    <row r="40" ht="36" customHeight="1">
      <c r="A40" s="5" t="inlineStr">
        <is>
          <t>Caso persistente</t>
        </is>
      </c>
      <c r="B40" s="10" t="inlineStr">
        <is>
          <t>Abrir problema, tomarlo una persona y volver al portal</t>
        </is>
      </c>
      <c r="C40" s="10" t="inlineStr">
        <is>
          <t>Mismo ticket, responsable y estado; reapertura disponible</t>
        </is>
      </c>
      <c r="D40" s="6" t="inlineStr">
        <is>
          <t>Casos reabiertos / cerrados y satisfacción de cierre; línea base por levantar</t>
        </is>
      </c>
    </row>
    <row r="41" ht="36" customHeight="1">
      <c r="A41" s="5" t="inlineStr">
        <is>
          <t>Sin duplicados</t>
        </is>
      </c>
      <c r="B41" s="10" t="inlineStr">
        <is>
          <t>Reenviar el mismo evento y simular reconexión</t>
        </is>
      </c>
      <c r="C41" s="10" t="inlineStr">
        <is>
          <t>Un único pedido/ticket y un historial coherente</t>
        </is>
      </c>
      <c r="D41" s="6" t="inlineStr">
        <is>
          <t>Duplicados de operación: 0 en pruebas de aceptación</t>
        </is>
      </c>
    </row>
    <row r="42" ht="36" customHeight="1">
      <c r="A42" s="5" t="inlineStr">
        <is>
          <t>Protección entre cuentas</t>
        </is>
      </c>
      <c r="B42" s="10" t="inlineStr">
        <is>
          <t>Consultar referencia de otra cuenta o sucursal no autorizada</t>
        </is>
      </c>
      <c r="C42" s="10" t="inlineStr">
        <is>
          <t>Acceso rechazado sin revelar datos</t>
        </is>
      </c>
      <c r="D42" s="6" t="inlineStr">
        <is>
          <t>Accesos indebidos: 0 en pruebas de aceptación</t>
        </is>
      </c>
    </row>
    <row r="43" ht="36" customHeight="1">
      <c r="A43" s="5" t="inlineStr">
        <is>
          <t>Atención prioritaria</t>
        </is>
      </c>
      <c r="B43" s="10" t="inlineStr">
        <is>
          <t>Abrir incidencia crítica con campaña activa</t>
        </is>
      </c>
      <c r="C43" s="10" t="inlineStr">
        <is>
          <t>Venta proactiva en pausa; caso asignado a postventa, sin perder atención</t>
        </is>
      </c>
      <c r="D43" s="6" t="inlineStr">
        <is>
          <t>Tiempo hasta toma humana y resolución, por criticidad; línea base y meta por definir</t>
        </is>
      </c>
    </row>
    <row r="44" ht="49" customHeight="1">
      <c r="A44" s="5" t="inlineStr">
        <is>
          <t>Fallo visible</t>
        </is>
      </c>
      <c r="B44" s="10" t="inlineStr">
        <is>
          <t>Simular caída del canal, ERP o falta de ejecutivo</t>
        </is>
      </c>
      <c r="C44" s="10" t="inlineStr">
        <is>
          <t>Estado pendiente real, avance conservado, reintento controlado y alternativa de contacto</t>
        </is>
      </c>
      <c r="D44" s="6" t="inlineStr">
        <is>
          <t>Fallos recuperados y tasa de entrega; línea base por levantar</t>
        </is>
      </c>
    </row>
    <row r="45" ht="36" customHeight="1">
      <c r="A45" s="7" t="inlineStr">
        <is>
          <t>Valor para el cliente</t>
        </is>
      </c>
      <c r="B45" s="14" t="inlineStr">
        <is>
          <t>Resolver una consulta sencilla con IA y otra con ejecutivo</t>
        </is>
      </c>
      <c r="C45" s="14" t="inlineStr">
        <is>
          <t>Se distingue quién responde, se entiende qué pasó y cuál es el siguiente paso</t>
        </is>
      </c>
      <c r="D45" s="8" t="inlineStr">
        <is>
          <t>Resolución sin repetición, satisfacción y abandono; medir ronda 2 y piloto</t>
        </is>
      </c>
    </row>
    <row r="46" ht="23" customHeight="1"/>
    <row r="47" ht="62" customHeight="1">
      <c r="A47" s="10" t="inlineStr">
        <is>
          <t>Fuente primaria</t>
        </is>
      </c>
      <c r="B47" s="10" t="inlineStr">
        <is>
          <t>WhatsApp Business Messaging Policy, actualizada el 23-09-2026; consultada el 15-10-2026. https://business.whatsapp.com/policy</t>
        </is>
      </c>
    </row>
    <row r="48" ht="62" customHeight="1">
      <c r="A48" s="10" t="inlineStr">
        <is>
          <t>Modalidades</t>
        </is>
      </c>
      <c r="B48" s="10" t="inlineStr">
        <is>
          <t>Arriendo mensual y compra directa. Montos de demostración académica; precio, stock, cobertura y condiciones los confirma la ejecutiva.</t>
        </is>
      </c>
    </row>
  </sheetData>
  <mergeCells count="1">
    <mergeCell ref="A2:H2"/>
  </mergeCells>
  <pageMargins left="0.75" right="0.75" top="1" bottom="1" header="0.5" footer="0.5"/>
  <pageSetup orientation="landscape" fitToHeight="0" fitToWidth="1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5.xml><?xml version="1.0" encoding="utf-8"?>
<worksheet xmlns="http://schemas.openxmlformats.org/spreadsheetml/2006/main">
  <sheetPr>
    <tabColor rgb="003F3F40"/>
    <outlinePr summaryBelow="1" summaryRight="1"/>
    <pageSetUpPr fitToPage="1"/>
  </sheetPr>
  <dimension ref="A1:J3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60" customWidth="1" min="4" max="4"/>
    <col width="54" customWidth="1" min="5" max="5"/>
    <col width="68" customWidth="1" min="6" max="6"/>
    <col width="60" customWidth="1" min="7" max="7"/>
    <col width="56" customWidth="1" min="8" max="8"/>
    <col width="60" customWidth="1" min="9" max="9"/>
    <col width="60" customWidth="1" min="10" max="10"/>
  </cols>
  <sheetData>
    <row r="1" ht="28" customHeight="1">
      <c r="A1" s="1" t="inlineStr">
        <is>
          <t>Viabilidad técnica: qué se puede conectar y qué falta demostrar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6" customHeight="1">
      <c r="A2" s="3" t="inlineStr">
        <is>
          <t>Consulta pública 15-10-2026 y diagnóstico externo 27-08-2026. V = recurso público/lectura comprobada; H = detección histórica; P = acceso o implementación pendiente; D = demostración local. Ninguna V por sí sola prueba operación privada.</t>
        </is>
      </c>
    </row>
    <row r="3"/>
    <row r="4" ht="30" customHeight="1">
      <c r="A4" s="4" t="inlineStr">
        <is>
          <t>ID</t>
        </is>
      </c>
      <c r="B4" s="4" t="inlineStr">
        <is>
          <t>Conexión</t>
        </is>
      </c>
      <c r="C4" s="4" t="inlineStr">
        <is>
          <t>Estado</t>
        </is>
      </c>
      <c r="D4" s="4" t="inlineStr">
        <is>
          <t>Evidencia y alcance</t>
        </is>
      </c>
      <c r="E4" s="4" t="inlineStr">
        <is>
          <t>Recurso verificable</t>
        </is>
      </c>
      <c r="F4" s="4" t="inlineStr">
        <is>
          <t>Fuente primaria / referencia</t>
        </is>
      </c>
      <c r="G4" s="4" t="inlineStr">
        <is>
          <t>Qué habilita</t>
        </is>
      </c>
      <c r="H4" s="4" t="inlineStr">
        <is>
          <t>Acceso requerido</t>
        </is>
      </c>
      <c r="I4" s="4" t="inlineStr">
        <is>
          <t>Prueba de aceptación</t>
        </is>
      </c>
      <c r="J4" s="4" t="inlineStr">
        <is>
          <t>Dependencia / límite</t>
        </is>
      </c>
    </row>
    <row r="5" ht="49" customHeight="1">
      <c r="A5" s="5" t="inlineStr">
        <is>
          <t>I00</t>
        </is>
      </c>
      <c r="B5" s="10" t="inlineStr">
        <is>
          <t>Catálogo público y huellas del sitio Marley</t>
        </is>
      </c>
      <c r="C5" s="10" t="inlineStr">
        <is>
          <t>V / P</t>
        </is>
      </c>
      <c r="D5" s="10" t="inlineStr">
        <is>
          <t>Lectura pública 15-10-2026: inicio HTTP 200 con generador VTEX y recurso Connectif; catálogo HTTP 206 con un producto. Evidencia guardada por el equipo.</t>
        </is>
      </c>
      <c r="E5" s="10" t="inlineStr">
        <is>
          <t>GET público de catálogo con _from=0&amp;_to=0; una lectura no equivale a permisos de pedido o inventario privado.</t>
        </is>
      </c>
      <c r="F5" s="10" t="inlineStr">
        <is>
          <t>https://www.marleycoffee.cl/api/catalog_system/pub/products/search?_from=0&amp;_to=0</t>
        </is>
      </c>
      <c r="G5" s="10" t="inlineStr">
        <is>
          <t>Leer información pública de producto para preparar una recomendación con referencia identificable.</t>
        </is>
      </c>
      <c r="H5" s="10" t="inlineStr">
        <is>
          <t>Lectura pública de catálogo; toda escritura comercial y acceso privado requieren autorización aparte.</t>
        </is>
      </c>
      <c r="I5" s="10" t="inlineStr">
        <is>
          <t>La respuesta de lectura contiene productId y campos de producto; si falla, mostrar dato no disponible, sin inventarlo.</t>
        </is>
      </c>
      <c r="J5" s="6" t="inlineStr">
        <is>
          <t>P: permisos privados, sincronización completa, límites de uso y catálogo B2B.</t>
        </is>
      </c>
    </row>
    <row r="6" ht="49" customHeight="1">
      <c r="A6" s="5" t="inlineStr">
        <is>
          <t>I01</t>
        </is>
      </c>
      <c r="B6" s="10" t="inlineStr">
        <is>
          <t>VTEX: catálogo y operación</t>
        </is>
      </c>
      <c r="C6" s="10" t="inlineStr">
        <is>
          <t>V / P</t>
        </is>
      </c>
      <c r="D6" s="10" t="inlineStr">
        <is>
          <t>VTEX observado en auditoría externa 27-08 y lectura de inicio/catálogo 15-10-2026. Orders privado solo tiene documentación pública verificada.</t>
        </is>
      </c>
      <c r="E6" s="10" t="inlineStr">
        <is>
          <t>Orders API: GET /api/oms/pvt/orders/{orderId}; autenticación de integración documentada.</t>
        </is>
      </c>
      <c r="F6" s="10" t="inlineStr">
        <is>
          <t>https://developers.vtex.com/docs/api-reference/orders-api</t>
        </is>
      </c>
      <c r="G6" s="10" t="inlineStr">
        <is>
          <t>Consultar pedidos, estados y referencias para conservar contexto en CRM.</t>
        </is>
      </c>
      <c r="H6" s="10" t="inlineStr">
        <is>
          <t>Cuenta VTEX y credenciales con permisos mínimos; entorno de prueba autorizado.</t>
        </is>
      </c>
      <c r="I6" s="10" t="inlineStr">
        <is>
          <t>Consultar un pedido de prueba de la cuenta correcta; rechazar referencia ajena sin exponer datos.</t>
        </is>
      </c>
      <c r="J6" s="6" t="inlineStr">
        <is>
          <t>P: acceso de Marley Coffee y mapeo catálogo, SKU y sucursal.</t>
        </is>
      </c>
    </row>
    <row r="7" ht="36" customHeight="1">
      <c r="A7" s="5" t="inlineStr">
        <is>
          <t>I02</t>
        </is>
      </c>
      <c r="B7" s="10" t="inlineStr">
        <is>
          <t>VTEX: reposición confirmada</t>
        </is>
      </c>
      <c r="C7" s="10" t="inlineStr">
        <is>
          <t>V / P</t>
        </is>
      </c>
      <c r="D7" s="10" t="inlineStr">
        <is>
          <t>Fuente de MVP API_MAP contiene /v1/pedidos, que es un contrato propio propuesto, no una ruta oficial de VTEX.</t>
        </is>
      </c>
      <c r="E7" s="10" t="inlineStr">
        <is>
          <t>Checkout API: orderForm, simulación, datos del carrito y flujo autorizado de cierre.</t>
        </is>
      </c>
      <c r="F7" s="10" t="inlineStr">
        <is>
          <t>https://developers.vtex.com/docs/api-reference/checkout-api</t>
        </is>
      </c>
      <c r="G7" s="10" t="inlineStr">
        <is>
          <t>Preparar y validar la reposición; crearla solo tras la aceptación expresa y el flujo comercial habilitado.</t>
        </is>
      </c>
      <c r="H7" s="10" t="inlineStr">
        <is>
          <t>Identidad de cliente, configuración B2B y operación de checkout autorizada.</t>
        </is>
      </c>
      <c r="I7" s="10" t="inlineStr">
        <is>
          <t>Cancelar un borrador y comprobar que no hay pedido; confirmar otro y correlacionarlo con una única orden.</t>
        </is>
      </c>
      <c r="J7" s="6" t="inlineStr">
        <is>
          <t>P: condiciones B2B, stock, precios, permisos y manejo secuencial de modificaciones.</t>
        </is>
      </c>
    </row>
    <row r="8" ht="36" customHeight="1">
      <c r="A8" s="5" t="inlineStr">
        <is>
          <t>I03</t>
        </is>
      </c>
      <c r="B8" s="10" t="inlineStr">
        <is>
          <t>VTEX: cambios de pedido hacia ERP</t>
        </is>
      </c>
      <c r="C8" s="10" t="inlineStr">
        <is>
          <t>V / P</t>
        </is>
      </c>
      <c r="D8" s="10" t="inlineStr">
        <is>
          <t>Capacidad pública documentada; no se ha accedido al ERP real de Marley Coffee.</t>
        </is>
      </c>
      <c r="E8" s="10" t="inlineStr">
        <is>
          <t>Orders Feed / Hook y guía Set up order integration.</t>
        </is>
      </c>
      <c r="F8" s="10" t="inlineStr">
        <is>
          <t>https://developers.vtex.com/docs/guides/erp-integration-set-up-order-integration</t>
        </is>
      </c>
      <c r="G8" s="10" t="inlineStr">
        <is>
          <t>Recibir cambios de estado y llevar una orden autorizada al sistema operativo sin duplicarla.</t>
        </is>
      </c>
      <c r="H8" s="10" t="inlineStr">
        <is>
          <t>Credenciales VTEX; adaptador; interfaz y permisos del ERP por confirmar.</t>
        </is>
      </c>
      <c r="I8" s="10" t="inlineStr">
        <is>
          <t>Repetir un mismo evento y comprobar una sola operación y acuse; registrar caída y recuperación.</t>
        </is>
      </c>
      <c r="J8" s="6" t="inlineStr">
        <is>
          <t>P: marca/API del ERP no informadas; si no hay interfaz, revisión humana con archivo controlado.</t>
        </is>
      </c>
    </row>
    <row r="9" ht="49" customHeight="1">
      <c r="A9" s="5" t="inlineStr">
        <is>
          <t>I04</t>
        </is>
      </c>
      <c r="B9" s="10" t="inlineStr">
        <is>
          <t>Correos de pedido: VTEX Message Center</t>
        </is>
      </c>
      <c r="C9" s="10" t="inlineStr">
        <is>
          <t>V / P</t>
        </is>
      </c>
      <c r="D9" s="10" t="inlineStr">
        <is>
          <t>VTEX Message Center aparece en diagnóstico técnico del equipo; documentación pública confirma plantillas transaccionales de pedido.</t>
        </is>
      </c>
      <c r="E9" s="10" t="inlineStr">
        <is>
          <t>Plantillas de eventos de pedido y Message Center API.</t>
        </is>
      </c>
      <c r="F9" s="10" t="inlineStr">
        <is>
          <t>https://developers.vtex.com/docs/api-reference/message-center-api</t>
        </is>
      </c>
      <c r="G9" s="10" t="inlineStr">
        <is>
          <t>Avisar eventos reales de compra, pago y despacho. No demuestra por sí solo nutrición o recuperación de abandono.</t>
        </is>
      </c>
      <c r="H9" s="10" t="inlineStr">
        <is>
          <t>Acceso a plantillas y remitente; configuración y pruebas de entregabilidad.</t>
        </is>
      </c>
      <c r="I9" s="10" t="inlineStr">
        <is>
          <t>Evento de pedido de prueba genera una única notificación con referencia correcta; un fallo queda visible.</t>
        </is>
      </c>
      <c r="J9" s="6" t="inlineStr">
        <is>
          <t>P: confirmar uso actual, plantillas, identidad remitente y reglas para evitar doble correo.</t>
        </is>
      </c>
    </row>
    <row r="10" ht="49" customHeight="1">
      <c r="A10" s="5" t="inlineStr">
        <is>
          <t>I05</t>
        </is>
      </c>
      <c r="B10" s="10" t="inlineStr">
        <is>
          <t>Connectif: automatización y contenido</t>
        </is>
      </c>
      <c r="C10" s="10" t="inlineStr">
        <is>
          <t>V / P</t>
        </is>
      </c>
      <c r="D10" s="10" t="inlineStr">
        <is>
          <t>Recurso Connectif detectado en auditoría externa 27-08 y en HTML público de inicio 15-10. Su presencia no demuestra cuenta habilitada ni automatizaciones activas.</t>
        </is>
      </c>
      <c r="E10" s="10" t="inlineStr">
        <is>
          <t>POST /custom-integrations/{id}/custom-event-types/; eventos API/webhook.</t>
        </is>
      </c>
      <c r="F10" s="10" t="inlineStr">
        <is>
          <t>https://api-docs.connectif.cloud/connectif-api/reference/custom-event-types/create-custom-event-type?v=latest</t>
        </is>
      </c>
      <c r="G10" s="10" t="inlineStr">
        <is>
          <t>Configurar W1/W2, recuperación W4, nutrición W10 y supresión al tomar atención humana; alternativa: orquestador propio.</t>
        </is>
      </c>
      <c r="H10" s="10" t="inlineStr">
        <is>
          <t>Cuenta habilitada, credenciales, permisos y esquema de eventos; remitente y finalidades aprobados.</t>
        </is>
      </c>
      <c r="I10" s="10" t="inlineStr">
        <is>
          <t>Evento único activa una secuencia autorizada; atención humana o baja la detiene; reintento no duplica correo.</t>
        </is>
      </c>
      <c r="J10" s="6" t="inlineStr">
        <is>
          <t>P: plan/configuración y derechos de uso reales; no se presupone que ya existen esos flujos.</t>
        </is>
      </c>
    </row>
    <row r="11" ht="49" customHeight="1">
      <c r="A11" s="5" t="inlineStr">
        <is>
          <t>I06</t>
        </is>
      </c>
      <c r="B11" s="10" t="inlineStr">
        <is>
          <t>GA4 y Google Tag Manager</t>
        </is>
      </c>
      <c r="C11" s="10" t="inlineStr">
        <is>
          <t>V / P / D</t>
        </is>
      </c>
      <c r="D11" s="10" t="inlineStr">
        <is>
          <t>GTM y configuración sendGA4EventsValue=true observados en HTML de inicio 15-10; no demuestran recepción efectiva en GA4. Auditoría 27-08 detecta GA4/GTM.</t>
        </is>
      </c>
      <c r="E11" s="10" t="inlineStr">
        <is>
          <t>Measurement Protocol; Google tag/GTM para navegador. api_secret se conserva en servidor.</t>
        </is>
      </c>
      <c r="F11" s="10" t="inlineStr">
        <is>
          <t>https://developers.google.com/analytics/devguides/collection/protocol/ga4/sending-events</t>
        </is>
      </c>
      <c r="G11" s="10" t="inlineStr">
        <is>
          <t>Medir eventos, origen y embudo con identificadores internos minimizados, separados de los datos personales del CRM.</t>
        </is>
      </c>
      <c r="H11" s="10" t="inlineStr">
        <is>
          <t>Propiedad y flujo de datos autorizados, permisos GTM/GA4 y configuración de consentimiento.</t>
        </is>
      </c>
      <c r="I11" s="10" t="inlineStr">
        <is>
          <t>Verificar eventos de prueba y atribución; no enviar correo, teléfono ni conversación a analítica.</t>
        </is>
      </c>
      <c r="J11" s="6" t="inlineStr">
        <is>
          <t>P: propiedad, consentimiento y validación de eventos. D: la bitácora local no prueba recepción en GA4.</t>
        </is>
      </c>
    </row>
    <row r="12" ht="49" customHeight="1">
      <c r="A12" s="5" t="inlineStr">
        <is>
          <t>I07</t>
        </is>
      </c>
      <c r="B12" s="10" t="inlineStr">
        <is>
          <t>Mercado Pago</t>
        </is>
      </c>
      <c r="C12" s="10" t="inlineStr">
        <is>
          <t>V / H / P</t>
        </is>
      </c>
      <c r="D12" s="10" t="inlineStr">
        <is>
          <t>Medio de pago identificado según diagnóstico del equipo; una huella pública no da acceso a transacciones.</t>
        </is>
      </c>
      <c r="E12" s="10" t="inlineStr">
        <is>
          <t>Credenciales de prueba/producción y Access Token de servidor.</t>
        </is>
      </c>
      <c r="F12" s="10" t="inlineStr">
        <is>
          <t>https://www.mercadopago.cl/developers/es/docs/adobe-commerce/resources/credentials</t>
        </is>
      </c>
      <c r="G12" s="10" t="inlineStr">
        <is>
          <t>Reutilizar el medio de pago habilitado por la tienda, sin recoger tarjetas dentro del chat.</t>
        </is>
      </c>
      <c r="H12" s="10" t="inlineStr">
        <is>
          <t>Cuenta comercial y credenciales del producto elegido; confirmar integración existente antes de modificarla.</t>
        </is>
      </c>
      <c r="I12" s="10" t="inlineStr">
        <is>
          <t>En entorno autorizado de pruebas, correlacionar pago y pedido, incluido rechazo; nunca simular pago como aprobado.</t>
        </is>
      </c>
      <c r="J12" s="6" t="inlineStr">
        <is>
          <t>P: contratación, modalidad de checkout y permisos. La entrega académica no realiza cobros.</t>
        </is>
      </c>
    </row>
    <row r="13" ht="49" customHeight="1">
      <c r="A13" s="5" t="inlineStr">
        <is>
          <t>I08</t>
        </is>
      </c>
      <c r="B13" s="10" t="inlineStr">
        <is>
          <t>Webpay / Transbank</t>
        </is>
      </c>
      <c r="C13" s="10" t="inlineStr">
        <is>
          <t>V / H / P</t>
        </is>
      </c>
      <c r="D13" s="10" t="inlineStr">
        <is>
          <t>Medio de pago identificado en diagnóstico; el portal oficial de Transbank describe herramientas para integrar sus productos.</t>
        </is>
      </c>
      <c r="E13" s="10" t="inlineStr">
        <is>
          <t>Documentación y herramientas Webpay Plus referidas por el centro de ayuda oficial.</t>
        </is>
      </c>
      <c r="F13" s="10" t="inlineStr">
        <is>
          <t>https://publico.transbank.cl/es/web/centro-de-ayuda/que-informacion-puedo-encontrar-en-el-portal-Transbank-Developers</t>
        </is>
      </c>
      <c r="G13" s="10" t="inlineStr">
        <is>
          <t>Mantener la ruta de pago de la tienda habilitada, con respuesta transaccional verificada.</t>
        </is>
      </c>
      <c r="H13" s="10" t="inlineStr">
        <is>
          <t>Comercio, configuración y entorno de integración autorizado; credenciales por confirmar.</t>
        </is>
      </c>
      <c r="I13" s="10" t="inlineStr">
        <is>
          <t>Recorrer pago de prueba aprobado, rechazado y abandonado, sin marcar orden pagada sin confirmación válida.</t>
        </is>
      </c>
      <c r="J13" s="6" t="inlineStr">
        <is>
          <t>P: configuración real, contrato y pruebas; sin presupuesto ni tarifas supuestas.</t>
        </is>
      </c>
    </row>
    <row r="14" ht="62" customHeight="1">
      <c r="A14" s="5" t="inlineStr">
        <is>
          <t>I09</t>
        </is>
      </c>
      <c r="B14" s="10" t="inlineStr">
        <is>
          <t>Blue Express / rutas propias</t>
        </is>
      </c>
      <c r="C14" s="10" t="inlineStr">
        <is>
          <t>V / P</t>
        </is>
      </c>
      <c r="D14" s="10" t="inlineStr">
        <is>
          <t>Blue Express es una alternativa logística del diseño previo por confirmar. La auditoría externa detectó «Blue», lo que no basta para identificar Blue Express ni un contrato.</t>
        </is>
      </c>
      <c r="E14" s="10" t="inlineStr">
        <is>
          <t>Centro de ayuda de integraciones y seguimiento ecommerce.</t>
        </is>
      </c>
      <c r="F14" s="10" t="inlineStr">
        <is>
          <t>https://www.blue.cl/nosotros/centro-de-ayuda/integraciones-ecommerce</t>
        </is>
      </c>
      <c r="G14" s="10" t="inlineStr">
        <is>
          <t>Consultar y mostrar seguimiento cuando exista integración habilitada; conservar alternativa de coordinación logística.</t>
        </is>
      </c>
      <c r="H14" s="10" t="inlineStr">
        <is>
          <t>Confirmar cuenta/contrato, interfaz, cobertura y permisos; rutas propias desde la operación interna.</t>
        </is>
      </c>
      <c r="I14" s="10" t="inlineStr">
        <is>
          <t>Estado real de un envío de prueba coincide con portal/CRM; si no hay respuesta, mostrar por confirmar.</t>
        </is>
      </c>
      <c r="J14" s="6" t="inlineStr">
        <is>
          <t>P: interfaz y credenciales no verificadas. No se inventan endpoint, cobertura ni fecha de entrega.</t>
        </is>
      </c>
    </row>
    <row r="15" ht="36" customHeight="1">
      <c r="A15" s="5" t="inlineStr">
        <is>
          <t>I10</t>
        </is>
      </c>
      <c r="B15" s="10" t="inlineStr">
        <is>
          <t>WhatsApp Business Platform</t>
        </is>
      </c>
      <c r="C15" s="10" t="inlineStr">
        <is>
          <t>V / P / D</t>
        </is>
      </c>
      <c r="D15" s="10" t="inlineStr">
        <is>
          <t>Canal nuevo propuesto para el MVP; la política pública no prueba una cuenta o un número habilitados.</t>
        </is>
      </c>
      <c r="E15" s="10" t="inlineStr">
        <is>
          <t>Permiso, baja, ventana de atención, plantillas y escalamiento humano; Cloud API propuesta.</t>
        </is>
      </c>
      <c r="F15" s="10" t="inlineStr">
        <is>
          <t>https://business.whatsapp.com/policy</t>
        </is>
      </c>
      <c r="G15" s="10" t="inlineStr">
        <is>
          <t>Continuar una gestión con contexto y actualizar servicio/postventa sin abrir un caso aislado.</t>
        </is>
      </c>
      <c r="H15" s="10" t="inlineStr">
        <is>
          <t>Cuenta, número, permisos técnicos, finalidades, plantillas y adaptador a definir con Marley Coffee.</t>
        </is>
      </c>
      <c r="I15" s="10" t="inlineStr">
        <is>
          <t>Bloquear mensaje sin permiso o sin plantilla cuando corresponda; transferir a persona; conservar ticket único.</t>
        </is>
      </c>
      <c r="J15" s="6" t="inlineStr">
        <is>
          <t>P: alta y configuración; D: conversación simulada. No hay envío real ni número inventado.</t>
        </is>
      </c>
    </row>
    <row r="16" ht="36" customHeight="1">
      <c r="A16" s="5" t="inlineStr">
        <is>
          <t>I11</t>
        </is>
      </c>
      <c r="B16" s="10" t="inlineStr">
        <is>
          <t>CRM, ERP y tickets existentes</t>
        </is>
      </c>
      <c r="C16" s="10" t="inlineStr">
        <is>
          <t>P</t>
        </is>
      </c>
      <c r="D16" s="10" t="inlineStr">
        <is>
          <t>El caso describe sistemas de negocio; no identifica marca ni documentación de la interfaz.</t>
        </is>
      </c>
      <c r="E16" s="10" t="inlineStr">
        <is>
          <t>No hay recurso público verificable del sistema concreto; solicitar ficha técnica y acceso autorizado.</t>
        </is>
      </c>
      <c r="F16" s="10" t="inlineStr">
        <is>
          <t>No disponible: proveedor e interfaz no informados en el caso.</t>
        </is>
      </c>
      <c r="G16" s="10" t="inlineStr">
        <is>
          <t>Conectar maestros, pedidos, facturación y casos al contrato de integración una vez identificados.</t>
        </is>
      </c>
      <c r="H16" s="10" t="inlineStr">
        <is>
          <t>Responsable de TI, catálogo de datos, permisos y documentación privada del proveedor real.</t>
        </is>
      </c>
      <c r="I16" s="10" t="inlineStr">
        <is>
          <t>Conciliar cuenta, sucursal, pedido y ticket; rechazar acceso ajeno; registrar una sola operación por referencia.</t>
        </is>
      </c>
      <c r="J16" s="6" t="inlineStr">
        <is>
          <t>P: proveedor y API; alternativa manual o archivo controlado, sin fingir sincronización en tiempo real.</t>
        </is>
      </c>
    </row>
    <row r="17" ht="49" customHeight="1">
      <c r="A17" s="5" t="inlineStr">
        <is>
          <t>I12</t>
        </is>
      </c>
      <c r="B17" s="10" t="inlineStr">
        <is>
          <t>CRM propio, agentes y vista omnicanal</t>
        </is>
      </c>
      <c r="C17" s="10" t="inlineStr">
        <is>
          <t>D / P</t>
        </is>
      </c>
      <c r="D17" s="10" t="inlineStr">
        <is>
          <t>Código del MVP y contratos /v1 propuestos: demostración local de eventos, puntaje, correos, chat y responsable.</t>
        </is>
      </c>
      <c r="E17" s="10" t="inlineStr">
        <is>
          <t>R16: recorrido y estados locales; R02 conversación; /v1/contactos/{id}/eventos como contrato propio.</t>
        </is>
      </c>
      <c r="F17" s="10" t="inlineStr">
        <is>
          <t>Fuente del MVP: src/v4/00-data.js (API_MAP), estado local y módulos de CRM; no es una API pública desplegada.</t>
        </is>
      </c>
      <c r="G17" s="10" t="inlineStr">
        <is>
          <t>Hacer visible la relación evento → puntaje → asignación → comunicación → confirmación → resultado.</t>
        </is>
      </c>
      <c r="H17" s="10" t="inlineStr">
        <is>
          <t>P: servidor, base de datos, identidad, auditoría, controles de operación y adaptadores reales.</t>
        </is>
      </c>
      <c r="I17" s="10" t="inlineStr">
        <is>
          <t>Evento se cuenta una vez; cambia score y asignación; correos/traspaso conservan contexto; registrar falla y reintento.</t>
        </is>
      </c>
      <c r="J17" s="6" t="inlineStr">
        <is>
          <t>D: coherencia local comprobable; P: persistencia y conexiones reales. No se declara operativo en producción.</t>
        </is>
      </c>
    </row>
    <row r="18" ht="49" customHeight="1">
      <c r="A18" s="5" t="inlineStr">
        <is>
          <t>I13</t>
        </is>
      </c>
      <c r="B18" s="10" t="inlineStr">
        <is>
          <t>Zendesk: soporte, si se confirma uso</t>
        </is>
      </c>
      <c r="C18" s="10" t="inlineStr">
        <is>
          <t>V / H / P</t>
        </is>
      </c>
      <c r="D18" s="10" t="inlineStr">
        <is>
          <t>Detectado por auditoría externa 27-08; una lectura HTML sin ejecución de etiquetas no confirma ni descarta operación actual.</t>
        </is>
      </c>
      <c r="E18" s="10" t="inlineStr">
        <is>
          <t>Webhooks de actividad en Support/Messaging y guía de autenticidad de notificaciones.</t>
        </is>
      </c>
      <c r="F18" s="10" t="inlineStr">
        <is>
          <t>https://developer.zendesk.com/documentation/webhooks/</t>
        </is>
      </c>
      <c r="G18" s="10" t="inlineStr">
        <is>
          <t>Si es el sistema real de atención, vincular cambios de ticket al CRM y pausar campañas ante una incidencia crítica.</t>
        </is>
      </c>
      <c r="H18" s="10" t="inlineStr">
        <is>
          <t>Confirmar cuenta, producto, permisos de administrador y configuración de eventos firmados.</t>
        </is>
      </c>
      <c r="I18" s="10" t="inlineStr">
        <is>
          <t>Ticket de prueba cambia estado una vez; notificación inválida se rechaza; el CRM conserva referencia y responsable.</t>
        </is>
      </c>
      <c r="J18" s="6" t="inlineStr">
        <is>
          <t>P: no se afirma que sea el ticketing interno definitivo; usar adaptador del sistema que TI confirme.</t>
        </is>
      </c>
    </row>
    <row r="19" ht="49" customHeight="1">
      <c r="A19" s="5" t="inlineStr">
        <is>
          <t>I14</t>
        </is>
      </c>
      <c r="B19" s="10" t="inlineStr">
        <is>
          <t>VTEX Logistics: stock y cobertura</t>
        </is>
      </c>
      <c r="C19" s="10" t="inlineStr">
        <is>
          <t>V / P</t>
        </is>
      </c>
      <c r="D19" s="10" t="inlineStr">
        <is>
          <t>Propuesto en Informe 01, tabla 9; documentación pública de Logistics verificada. No se consultó stock privado de Marley.</t>
        </is>
      </c>
      <c r="E19" s="10" t="inlineStr">
        <is>
          <t>Logistics API: inventario, almacenes y configuración logística.</t>
        </is>
      </c>
      <c r="F19" s="10" t="inlineStr">
        <is>
          <t>https://developers.vtex.com/docs/api-reference/logistics-api</t>
        </is>
      </c>
      <c r="G19" s="10" t="inlineStr">
        <is>
          <t>Contrastar disponibilidad por SKU y datos de logística al preparar una propuesta.</t>
        </is>
      </c>
      <c r="H19" s="10" t="inlineStr">
        <is>
          <t>Cuenta y permisos por operación, mapeo SKU/almacén y reglas comerciales vigentes.</t>
        </is>
      </c>
      <c r="I19" s="10" t="inlineStr">
        <is>
          <t>Consultar SKU de prueba y tratar falta de stock o API caída sin inventar disponibilidad ni fecha.</t>
        </is>
      </c>
      <c r="J19" s="6" t="inlineStr">
        <is>
          <t>P: inventario real, cobertura, permisos y condiciones; ninguna reserva se deduce de una lectura pública.</t>
        </is>
      </c>
    </row>
    <row r="20" ht="49" customHeight="1">
      <c r="A20" s="5" t="inlineStr">
        <is>
          <t>I15</t>
        </is>
      </c>
      <c r="B20" s="10" t="inlineStr">
        <is>
          <t>Google Ads / Data Manager</t>
        </is>
      </c>
      <c r="C20" s="10" t="inlineStr">
        <is>
          <t>V / H / P</t>
        </is>
      </c>
      <c r="D20" s="10" t="inlineStr">
        <is>
          <t>Informe 01, tabla 9, propone conversiones posteriores con consentimiento. Auditoría 27-08 observó señales de atribución Google, sin acceso a la cuenta.</t>
        </is>
      </c>
      <c r="E20" s="10" t="inlineStr">
        <is>
          <t>Data Manager API: eventos de conversiones posteriores y conversiones mejoradas de clientes potenciales.</t>
        </is>
      </c>
      <c r="F20" s="10" t="inlineStr">
        <is>
          <t>https://developers.google.com/data-manager/api/devguides/events</t>
        </is>
      </c>
      <c r="G20" s="10" t="inlineStr">
        <is>
          <t>Relacionar adquisición con lead calificado y venta confirmada cuando la cuenta y el consentimiento lo permitan.</t>
        </is>
      </c>
      <c r="H20" s="10" t="inlineStr">
        <is>
          <t>Cuenta, acción de conversión, acceso API y condiciones de datos habilitadas; revisar método vigente antes del piloto.</t>
        </is>
      </c>
      <c r="I20" s="10" t="inlineStr">
        <is>
          <t>Una conversión de prueba se valida, se atribuye sin duplicarse y solo contiene datos autorizados; conciliar con venta del CRM.</t>
        </is>
      </c>
      <c r="J20" s="6" t="inlineStr">
        <is>
          <t>P: configuración real; preferir Data Manager para nuevas integraciones y revisar restricciones vigentes de métodos anteriores.</t>
        </is>
      </c>
    </row>
    <row r="21" ht="49" customHeight="1">
      <c r="A21" s="7" t="inlineStr">
        <is>
          <t>I16</t>
        </is>
      </c>
      <c r="B21" s="14" t="inlineStr">
        <is>
          <t>Clarity y gobierno de etiquetas</t>
        </is>
      </c>
      <c r="C21" s="14" t="inlineStr">
        <is>
          <t>V / H / P</t>
        </is>
      </c>
      <c r="D21" s="14" t="inlineStr">
        <is>
          <t>Clarity detectado en auditoría externa 27-08 con advertencia de múltiples etiquetas. No se prueba el estado actual ni se deduce ausencia de una lectura estática.</t>
        </is>
      </c>
      <c r="E21" s="14" t="inlineStr">
        <is>
          <t>Guía oficial de instalación del seguimiento Clarity; revisión de etiquetas por propietario/finalidad.</t>
        </is>
      </c>
      <c r="F21" s="14" t="inlineStr">
        <is>
          <t>https://learn.microsoft.com/en-us/clarity/setup-and-installation/clarity-setup</t>
        </is>
      </c>
      <c r="G21" s="14" t="inlineStr">
        <is>
          <t>Revisar fricción de navegación y duplicidades una vez configurada privacidad y acceso. No usar grabaciones como dato transaccional.</t>
        </is>
      </c>
      <c r="H21" s="14" t="inlineStr">
        <is>
          <t>Acceso al proyecto y gestor de etiquetas; controles de consentimiento, exclusiones y retención definidos.</t>
        </is>
      </c>
      <c r="I21" s="14" t="inlineStr">
        <is>
          <t>Un recorrido autorizado produce la evidencia prevista sin duplicar etiquetas ni capturar datos sensibles; revisar con responsable de privacidad.</t>
        </is>
      </c>
      <c r="J21" s="8" t="inlineStr">
        <is>
          <t>P: proyecto y configuración; no se presupone una API de escritura ni acceso a grabaciones de clientes.</t>
        </is>
      </c>
    </row>
    <row r="22" ht="23" customHeight="1"/>
    <row r="23" ht="49" customHeight="1">
      <c r="A23" s="4" t="inlineStr">
        <is>
          <t>Nivel de evidencia</t>
        </is>
      </c>
      <c r="B23" s="4" t="inlineStr">
        <is>
          <t>Qué demuestra</t>
        </is>
      </c>
      <c r="C23" s="4" t="inlineStr">
        <is>
          <t>Qué no demuestra</t>
        </is>
      </c>
    </row>
    <row r="24" ht="101" customHeight="1">
      <c r="A24" s="5" t="inlineStr">
        <is>
          <t>Técnica pública</t>
        </is>
      </c>
      <c r="B24" s="10" t="inlineStr">
        <is>
          <t>La documentación describe una capacidad disponible del proveedor.</t>
        </is>
      </c>
      <c r="C24" s="6" t="inlineStr">
        <is>
          <t>No demuestra contrato, credenciales, configuración ni acceso a datos de Marley Coffee.</t>
        </is>
      </c>
    </row>
    <row r="25" ht="88" customHeight="1">
      <c r="A25" s="5" t="inlineStr">
        <is>
          <t>Demostración local</t>
        </is>
      </c>
      <c r="B25" s="10" t="inlineStr">
        <is>
          <t>Puntaje, asignación, secuencias y estados se muestran con los datos del MVP.</t>
        </is>
      </c>
      <c r="C25" s="6" t="inlineStr">
        <is>
          <t>No equivale a envío real de correo o WhatsApp ni a escritura en ERP.</t>
        </is>
      </c>
    </row>
    <row r="26" ht="88" customHeight="1">
      <c r="A26" s="7" t="inlineStr">
        <is>
          <t>Piloto conectado</t>
        </is>
      </c>
      <c r="B26" s="14" t="inlineStr">
        <is>
          <t>Cada adaptador requiere acceso autorizado, prueba de ida/vuelta y conciliación de referencias.</t>
        </is>
      </c>
      <c r="C26" s="8" t="inlineStr">
        <is>
          <t>Solo después se puede declarar conectado ese sistema y ese caso de uso.</t>
        </is>
      </c>
    </row>
    <row r="27" ht="23" customHeight="1"/>
    <row r="28" ht="36" customHeight="1">
      <c r="A28" s="4" t="inlineStr">
        <is>
          <t>Capa</t>
        </is>
      </c>
      <c r="B28" s="4" t="inlineStr">
        <is>
          <t>Estado</t>
        </is>
      </c>
      <c r="C28" s="4" t="inlineStr">
        <is>
          <t>Función y conexión</t>
        </is>
      </c>
    </row>
    <row r="29" ht="140" customHeight="1">
      <c r="A29" s="5" t="inlineStr">
        <is>
          <t>1. Ecosistema existente</t>
        </is>
      </c>
      <c r="B29" s="10" t="inlineStr">
        <is>
          <t>V / P</t>
        </is>
      </c>
      <c r="C29" s="6" t="inlineStr">
        <is>
          <t>VTEX: catálogo y pedidos; pagos según diagnóstico; ERP, tickets y logística por confirmar. Reutilizar interfaces habilitadas.</t>
        </is>
      </c>
    </row>
    <row r="30" ht="153" customHeight="1">
      <c r="A30" s="5" t="inlineStr">
        <is>
          <t>2. Capa de integración</t>
        </is>
      </c>
      <c r="B30" s="10" t="inlineStr">
        <is>
          <t>P</t>
        </is>
      </c>
      <c r="C30" s="6" t="inlineStr">
        <is>
          <t>Adaptadores por sistema, eventos normalizados, identidad y permisos, cola persistente, deduplicación y recuperación. Contratos /v1 propuestos.</t>
        </is>
      </c>
    </row>
    <row r="31" ht="140" customHeight="1">
      <c r="A31" s="5" t="inlineStr">
        <is>
          <t>3. CRM y agentes</t>
        </is>
      </c>
      <c r="B31" s="10" t="inlineStr">
        <is>
          <t>D / P</t>
        </is>
      </c>
      <c r="C31" s="6" t="inlineStr">
        <is>
          <t>Una cuenta y una conversación con responsable. Puntaje trazable, propuesta sugerida, tareas y traspaso humano con contexto.</t>
        </is>
      </c>
    </row>
    <row r="32" ht="140" customHeight="1">
      <c r="A32" s="5" t="inlineStr">
        <is>
          <t>4. Canales coordinados</t>
        </is>
      </c>
      <c r="B32" s="10" t="inlineStr">
        <is>
          <t>V / P / D</t>
        </is>
      </c>
      <c r="C32" s="6" t="inlineStr">
        <is>
          <t>Chat web, correo y WhatsApp con su permiso. Pedido: Message Center. Nutrición: Connectif u orquestador; persona toma la atención.</t>
        </is>
      </c>
    </row>
    <row r="33" ht="140" customHeight="1">
      <c r="A33" s="7" t="inlineStr">
        <is>
          <t>5. Medición y mejora</t>
        </is>
      </c>
      <c r="B33" s="14" t="inlineStr">
        <is>
          <t>V / P / D</t>
        </is>
      </c>
      <c r="C33" s="8" t="inlineStr">
        <is>
          <t>Bitácora técnica y comercial; eventos mínimos a GA4 autorizado. Resultado de pedido/ticket vuelve al CRM; ajustar por evidencia.</t>
        </is>
      </c>
    </row>
  </sheetData>
  <mergeCells count="1">
    <mergeCell ref="A2:J2"/>
  </mergeCells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2026-10-16T02:56:41Z</dcterms:created>
  <dcterms:modified xmlns:dcterms="http://purl.org/dc/terms/" xmlns:xsi="http://www.w3.org/2001/XMLSchema-instance" xsi:type="dcterms:W3CDTF">2026-10-16T02:56:42Z</dcterms:modified>
</cp:coreProperties>
</file>